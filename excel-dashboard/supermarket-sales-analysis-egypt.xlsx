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hidePivotFieldList="1"/>
  <mc:AlternateContent xmlns:mc="http://schemas.openxmlformats.org/markup-compatibility/2006">
    <mc:Choice Requires="x15">
      <x15ac:absPath xmlns:x15ac="http://schemas.microsoft.com/office/spreadsheetml/2010/11/ac" url="D:\portfolio data\row data\تحليل بيانات سوبر ماركت\"/>
    </mc:Choice>
  </mc:AlternateContent>
  <xr:revisionPtr revIDLastSave="0" documentId="13_ncr:1_{CC8336CD-4C4D-48F8-9E56-D2FA5EF0081F}" xr6:coauthVersionLast="47" xr6:coauthVersionMax="47" xr10:uidLastSave="{00000000-0000-0000-0000-000000000000}"/>
  <bookViews>
    <workbookView xWindow="-120" yWindow="-120" windowWidth="25440" windowHeight="15390" activeTab="5" xr2:uid="{00000000-000D-0000-FFFF-FFFF00000000}"/>
  </bookViews>
  <sheets>
    <sheet name="Supermarket_Data" sheetId="2" r:id="rId1"/>
    <sheet name="month_name_arabic" sheetId="6" r:id="rId2"/>
    <sheet name="date" sheetId="3" r:id="rId3"/>
    <sheet name="product_category" sheetId="4" r:id="rId4"/>
    <sheet name="pivots" sheetId="1" r:id="rId5"/>
    <sheet name="dashboard" sheetId="5" r:id="rId6"/>
  </sheets>
  <definedNames>
    <definedName name="ExternalData_1" localSheetId="0" hidden="1">Supermarket_Data!$A$1:$F$1201</definedName>
    <definedName name="ExternalData_2" localSheetId="2" hidden="1">date!$A$1:$D$181</definedName>
    <definedName name="ExternalData_2" localSheetId="1" hidden="1">month_name_arabic!$A$1:$B$13</definedName>
    <definedName name="ExternalData_3" localSheetId="3" hidden="1">product_category!$A$1:$B$26</definedName>
    <definedName name="Slicer_month_arabic_name">#N/A</definedName>
    <definedName name="Slicer_الفئة">#N/A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21"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market_Data_ebf035cf-d6da-400b-b8ae-a98a05598406" name="Supermarket_Data" connection="Query - Supermarket_Data"/>
          <x15:modelTable id="date_7f5bbaee-6bdf-468b-a4af-f252bb0a0425" name="date" connection="Query - date"/>
          <x15:modelTable id="product_category_c7b432b5-ce18-4e5b-bd66-6be111bd3006" name="product_category" connection="Query - product_category"/>
          <x15:modelTable id="month_name_arabic_177ce26e-e2a9-4a8a-99c2-c9236aebbac1" name="month_name_arabic" connection="Query - month_name_arabic"/>
        </x15:modelTables>
        <x15:modelRelationships>
          <x15:modelRelationship fromTable="Supermarket_Data" fromColumn="التاريخ" toTable="date" toColumn="التاريخ"/>
          <x15:modelRelationship fromTable="Supermarket_Data" fromColumn="المنتج" toTable="product_category" toColumn="المنتج"/>
          <x15:modelRelationship fromTable="date" fromColumn="Month" toTable="month_name_arabic" toColumn="month_no"/>
        </x15:modelRelationships>
        <x15:extLst>
          <ext xmlns:x16="http://schemas.microsoft.com/office/spreadsheetml/2014/11/main" uri="{9835A34E-60A6-4A7C-AAB8-D5F71C897F49}">
            <x16:modelTimeGroupings>
              <x16:modelTimeGrouping tableName="date" columnName="التاريخ" columnId="التاريخ">
                <x16:calculatedTimeColumn columnName="التاريخ (Month Index)" columnId="التاريخ (Month Index)" contentType="monthsindex" isSelected="1"/>
                <x16:calculatedTimeColumn columnName="التاريخ (Month)" columnId="التاريخ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3" i="5" l="1"/>
  <c r="R3" i="5"/>
  <c r="N3" i="5"/>
  <c r="J3" i="5"/>
  <c r="G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186DE9-DEDE-4803-888F-3578896A2F38}" keepAlive="1" name="ModelConnection_ExternalData_1" description="Data Model" type="5" refreshedVersion="7" minRefreshableVersion="5" saveData="1">
    <dbPr connection="Data Model Connection" command="Supermarket_Data" commandType="3"/>
    <extLst>
      <ext xmlns:x15="http://schemas.microsoft.com/office/spreadsheetml/2010/11/main" uri="{DE250136-89BD-433C-8126-D09CA5730AF9}">
        <x15:connection id="" model="1"/>
      </ext>
    </extLst>
  </connection>
  <connection id="2" xr16:uid="{EF663C66-5129-4DFA-9141-D5681AE09675}" keepAlive="1" name="ModelConnection_ExternalData_2" description="Data Model" type="5" refreshedVersion="7" minRefreshableVersion="5" saveData="1">
    <dbPr connection="Data Model Connection" command="date" commandType="3"/>
    <extLst>
      <ext xmlns:x15="http://schemas.microsoft.com/office/spreadsheetml/2010/11/main" uri="{DE250136-89BD-433C-8126-D09CA5730AF9}">
        <x15:connection id="" model="1"/>
      </ext>
    </extLst>
  </connection>
  <connection id="3" xr16:uid="{4904AA4E-B66D-478A-8CEF-3F9F2044D926}" keepAlive="1" name="ModelConnection_ExternalData_21" description="Data Model" type="5" refreshedVersion="7" minRefreshableVersion="5" saveData="1">
    <dbPr connection="Data Model Connection" command="month_name_arabic" commandType="3"/>
    <extLst>
      <ext xmlns:x15="http://schemas.microsoft.com/office/spreadsheetml/2010/11/main" uri="{DE250136-89BD-433C-8126-D09CA5730AF9}">
        <x15:connection id="" model="1"/>
      </ext>
    </extLst>
  </connection>
  <connection id="4" xr16:uid="{EA92A3C4-C580-4505-9F54-D4375C6F6B21}" keepAlive="1" name="ModelConnection_ExternalData_3" description="Data Model" type="5" refreshedVersion="7" minRefreshableVersion="5" saveData="1">
    <dbPr connection="Data Model Connection" command="product_category" commandType="3"/>
    <extLst>
      <ext xmlns:x15="http://schemas.microsoft.com/office/spreadsheetml/2010/11/main" uri="{DE250136-89BD-433C-8126-D09CA5730AF9}">
        <x15:connection id="" model="1"/>
      </ext>
    </extLst>
  </connection>
  <connection id="5" xr16:uid="{188F5DD0-0D4C-40D0-86AD-8660173EC21D}" name="Query - date" description="Connection to the 'date' query in the workbook." type="100" refreshedVersion="7" minRefreshableVersion="5">
    <extLst>
      <ext xmlns:x15="http://schemas.microsoft.com/office/spreadsheetml/2010/11/main" uri="{DE250136-89BD-433C-8126-D09CA5730AF9}">
        <x15:connection id="517cd846-5612-4669-8965-1971c101a56b"/>
      </ext>
    </extLst>
  </connection>
  <connection id="6" xr16:uid="{F44F92CB-CB1E-432A-962C-94A1A9E9C497}" name="Query - month_name_arabic" description="Connection to the 'month_name_arabic' query in the workbook." type="100" refreshedVersion="7" minRefreshableVersion="5">
    <extLst>
      <ext xmlns:x15="http://schemas.microsoft.com/office/spreadsheetml/2010/11/main" uri="{DE250136-89BD-433C-8126-D09CA5730AF9}">
        <x15:connection id="35ce1676-04e7-4d7e-b20d-5bea1fe90c2f"/>
      </ext>
    </extLst>
  </connection>
  <connection id="7" xr16:uid="{8CBC65BE-8C48-4233-9B69-98F0B513975F}" name="Query - product_category" description="Connection to the 'product_category' query in the workbook." type="100" refreshedVersion="7" minRefreshableVersion="5">
    <extLst>
      <ext xmlns:x15="http://schemas.microsoft.com/office/spreadsheetml/2010/11/main" uri="{DE250136-89BD-433C-8126-D09CA5730AF9}">
        <x15:connection id="4ad0ef96-26cd-47a1-945b-836a49bda48b"/>
      </ext>
    </extLst>
  </connection>
  <connection id="8" xr16:uid="{1366D247-5BD4-4694-BE7B-0DEDA845BA01}" name="Query - Supermarket_Data" description="Connection to the 'Supermarket_Data' query in the workbook." type="100" refreshedVersion="7" minRefreshableVersion="5">
    <extLst>
      <ext xmlns:x15="http://schemas.microsoft.com/office/spreadsheetml/2010/11/main" uri="{DE250136-89BD-433C-8126-D09CA5730AF9}">
        <x15:connection id="2b581377-8222-487b-947d-c3a9d83091b9"/>
      </ext>
    </extLst>
  </connection>
  <connection id="9" xr16:uid="{934001FE-2E5A-4F31-A7EA-A61BC916904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<sst xmlns="http://schemas.openxmlformats.org/spreadsheetml/2006/main" count="1523" uniqueCount="74">
  <si>
    <t xml:space="preserve"> </t>
  </si>
  <si>
    <t>رقم الفاتورة</t>
  </si>
  <si>
    <t>التاريخ</t>
  </si>
  <si>
    <t>المنتج</t>
  </si>
  <si>
    <t>السعر_للواحدة</t>
  </si>
  <si>
    <t>الكمية_المباعة</t>
  </si>
  <si>
    <t>صابون</t>
  </si>
  <si>
    <t>كلور</t>
  </si>
  <si>
    <t>صلصة طماطم</t>
  </si>
  <si>
    <t>تونة</t>
  </si>
  <si>
    <t>إسفنجة تنظيف</t>
  </si>
  <si>
    <t>عدس</t>
  </si>
  <si>
    <t>بسكويت</t>
  </si>
  <si>
    <t>معطر جو</t>
  </si>
  <si>
    <t>فول</t>
  </si>
  <si>
    <t>مكرونة</t>
  </si>
  <si>
    <t>زيت طعام</t>
  </si>
  <si>
    <t>سائل تنظيف</t>
  </si>
  <si>
    <t>منظف أرضيات</t>
  </si>
  <si>
    <t>شامبو</t>
  </si>
  <si>
    <t>أرز</t>
  </si>
  <si>
    <t>مربى</t>
  </si>
  <si>
    <t>مسحوق غسيل</t>
  </si>
  <si>
    <t>أكياس قمامة</t>
  </si>
  <si>
    <t>سكر</t>
  </si>
  <si>
    <t>دقيق</t>
  </si>
  <si>
    <t>مناديل ورقية</t>
  </si>
  <si>
    <t>قهوة</t>
  </si>
  <si>
    <t>عصير</t>
  </si>
  <si>
    <t>شاي</t>
  </si>
  <si>
    <t>جبنة نباتية</t>
  </si>
  <si>
    <t>Month</t>
  </si>
  <si>
    <t>الفئة</t>
  </si>
  <si>
    <t>منظفات</t>
  </si>
  <si>
    <t>مشروبات</t>
  </si>
  <si>
    <t>غذائى</t>
  </si>
  <si>
    <t>ورقيات</t>
  </si>
  <si>
    <t>حلويات</t>
  </si>
  <si>
    <t>Row Labels</t>
  </si>
  <si>
    <t>Grand Total</t>
  </si>
  <si>
    <t>اجمالى  القيمة</t>
  </si>
  <si>
    <t>Sum of اجمالى  القيمة</t>
  </si>
  <si>
    <t xml:space="preserve">اجمالى المبيعات </t>
  </si>
  <si>
    <t xml:space="preserve"> عدد الوحدات المباعة </t>
  </si>
  <si>
    <t>Sum of الكمية_المباعة</t>
  </si>
  <si>
    <t xml:space="preserve">متوسط قيمة الفاتورة </t>
  </si>
  <si>
    <t>Average of اجمالى  القيمة</t>
  </si>
  <si>
    <t xml:space="preserve">متوسط 
عدد وحدات الفاتورة </t>
  </si>
  <si>
    <t>Average of الكمية_المباعة</t>
  </si>
  <si>
    <t>month_no</t>
  </si>
  <si>
    <t>month_arabic_name</t>
  </si>
  <si>
    <t>يناير</t>
  </si>
  <si>
    <t>فبراير</t>
  </si>
  <si>
    <t>مارس</t>
  </si>
  <si>
    <t>ابريل</t>
  </si>
  <si>
    <t>مايو</t>
  </si>
  <si>
    <t>يونيو</t>
  </si>
  <si>
    <t>يوليو</t>
  </si>
  <si>
    <t>اغسطس</t>
  </si>
  <si>
    <t>سبتمبر</t>
  </si>
  <si>
    <t>اكتوبر</t>
  </si>
  <si>
    <t>نوفمبر</t>
  </si>
  <si>
    <t>ديسمبر</t>
  </si>
  <si>
    <t>التاريخ (Month Index)</t>
  </si>
  <si>
    <t>التاريخ (Month)</t>
  </si>
  <si>
    <t>Apr</t>
  </si>
  <si>
    <t>Jan</t>
  </si>
  <si>
    <t>Mar</t>
  </si>
  <si>
    <t>Feb</t>
  </si>
  <si>
    <t>May</t>
  </si>
  <si>
    <t>Jun</t>
  </si>
  <si>
    <t>عدد الاصناف المباعة</t>
  </si>
  <si>
    <t>Distinct Count of المنتج</t>
  </si>
  <si>
    <t>Average of السعر_للواحدة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</si>
</sst>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4" x14ac:knownFonts="1">
    <font>
      <sz val="11"/>
      <color theme="1"/>
      <name val="Calibri"/>
      <family val="2"/>
      <scheme val="minor"/>
    </font>
    <font>
      <sz val="11"/>
      <color theme="1"/>
      <name val="Calibri"/>
      <family val="2"/>
      <scheme val="minor"/>
    </font>
    <font>
      <b/>
      <sz val="18"/>
      <color theme="1"/>
      <name val="Calibri"/>
      <family val="2"/>
      <scheme val="minor"/>
    </font>
    <font>
      <sz val="8"/>
      <name val="Calibri"/>
      <family val="2"/>
      <scheme val="minor"/>
    </font>
  </fonts>
  <fills count="3">
    <fill>
      <patternFill patternType="none"/>
    </fill>
    <fill>
      <patternFill patternType="gray125"/>
    </fill>
    <fill>
      <patternFill patternType="solid">
        <fgColor theme="4" tint="0.39997558519241921"/>
        <bgColor indexed="64"/>
      </patternFill>
    </fill>
  </fills>
  <borders count="7">
    <border>
      <left/>
      <right/>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thick">
        <color indexed="64"/>
      </bottom>
      <diagonal/>
    </border>
    <border>
      <left/>
      <right/>
      <top/>
      <bottom style="thick">
        <color indexed="64"/>
      </bottom>
      <diagonal/>
    </border>
  </borders>
  <cellStyleXfs count="2">
    <xf numFmtId="0" fontId="0" fillId="0" borderId="0"/>
    <xf numFmtId="43" fontId="1" fillId="0" borderId="0" applyFont="0" applyFill="0" applyBorder="0" applyAlignment="0" applyProtection="0"/>
  </cellStyleXfs>
  <cellXfs count="18">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2" fillId="2" borderId="1" xfId="0" applyFont="1" applyFill="1" applyBorder="1" applyAlignment="1">
      <alignment horizontal="center" vertical="center"/>
    </xf>
    <xf numFmtId="43" fontId="2" fillId="2" borderId="1" xfId="1" applyFont="1" applyFill="1" applyBorder="1" applyAlignment="1">
      <alignment horizontal="center" vertical="center"/>
    </xf>
    <xf numFmtId="164" fontId="2" fillId="2" borderId="0" xfId="1" applyNumberFormat="1" applyFont="1" applyFill="1" applyBorder="1" applyAlignment="1">
      <alignment vertical="center"/>
    </xf>
    <xf numFmtId="43" fontId="2" fillId="2" borderId="0" xfId="1" applyFont="1" applyFill="1" applyAlignment="1">
      <alignment horizontal="center" vertical="center"/>
    </xf>
    <xf numFmtId="10" fontId="0" fillId="0" borderId="0" xfId="0" applyNumberFormat="1"/>
    <xf numFmtId="0" fontId="0" fillId="2" borderId="0" xfId="0" applyFill="1"/>
    <xf numFmtId="43" fontId="2" fillId="2" borderId="0" xfId="1" applyFont="1" applyFill="1" applyAlignment="1">
      <alignment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6" xfId="0" applyFont="1" applyFill="1" applyBorder="1" applyAlignment="1">
      <alignment horizontal="center" vertical="center"/>
    </xf>
    <xf numFmtId="0" fontId="2" fillId="2" borderId="5" xfId="0" applyFont="1" applyFill="1" applyBorder="1" applyAlignment="1">
      <alignment horizontal="center" vertical="center"/>
    </xf>
  </cellXfs>
  <cellStyles count="2">
    <cellStyle name="Comma" xfId="1" builtinId="3"/>
    <cellStyle name="Normal" xfId="0" builtinId="0"/>
  </cellStyles>
  <dxfs count="9">
    <dxf>
      <numFmt numFmtId="0" formatCode="General"/>
    </dxf>
    <dxf>
      <numFmt numFmtId="0" formatCode="General"/>
    </dxf>
    <dxf>
      <numFmt numFmtId="19" formatCode="dd/mm/yy"/>
    </dxf>
    <dxf>
      <numFmt numFmtId="0" formatCode="General"/>
    </dxf>
    <dxf>
      <numFmt numFmtId="0" formatCode="General"/>
    </dxf>
    <dxf>
      <numFmt numFmtId="19" formatCode="dd/mm/yy"/>
    </dxf>
    <dxf>
      <font>
        <b/>
        <i val="0"/>
        <sz val="15"/>
        <color theme="1"/>
        <name val="Arial"/>
        <family val="2"/>
        <scheme val="none"/>
      </font>
      <border>
        <bottom style="thin">
          <color theme="8"/>
        </bottom>
        <vertical/>
        <horizontal/>
      </border>
    </dxf>
    <dxf>
      <font>
        <color theme="1"/>
      </font>
      <fill>
        <patternFill>
          <bgColor theme="4" tint="0.79998168889431442"/>
        </patternFill>
      </fill>
      <border>
        <left style="thin">
          <color theme="8"/>
        </left>
        <right style="thin">
          <color theme="8"/>
        </right>
        <top style="thin">
          <color theme="8"/>
        </top>
        <bottom style="thin">
          <color theme="8"/>
        </bottom>
        <vertical/>
        <horizontal/>
      </border>
    </dxf>
    <dxf>
      <fill>
        <patternFill>
          <bgColor theme="7" tint="0.39994506668294322"/>
        </patternFill>
      </fill>
    </dxf>
  </dxfs>
  <tableStyles count="2" defaultTableStyle="TableStyleMedium2" defaultPivotStyle="PivotStyleLight16">
    <tableStyle name="Slicer Style 1" pivot="0" table="0" count="5" xr9:uid="{685397F0-3F7E-41EB-9880-A179C742A44C}">
      <tableStyleElement type="wholeTable" dxfId="8"/>
    </tableStyle>
    <tableStyle name="SlicerStyleDark5 2" pivot="0" table="0" count="10" xr9:uid="{36C698FD-D145-42E5-AFE9-A0DB3B63A26D}">
      <tableStyleElement type="wholeTable" dxfId="7"/>
      <tableStyleElement type="headerRow" dxfId="6"/>
    </tableStyle>
  </tableStyles>
  <colors>
    <mruColors>
      <color rgb="FFFF5050"/>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sz val="15"/>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x14:dxfs>
    </ext>
    <ext xmlns:x14="http://schemas.microsoft.com/office/spreadsheetml/2009/9/main" uri="{EB79DEF2-80B8-43e5-95BD-54CBDDF9020C}">
      <x14:slicerStyles defaultSlicerStyle="SlicerStyleDark5 2">
        <x14:slicerStyle name="Slicer Style 1">
          <x14:slicerStyleElements>
            <x14:slicerStyleElement type="unselectedItemWithData" dxfId="11"/>
            <x14:slicerStyleElement type="unselectedItemWithNoData" dxfId="10"/>
            <x14:slicerStyleElement type="selectedItemWithData" dxfId="9"/>
            <x14:slicerStyleElement type="selectedItemWithNo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2.xml"/><Relationship Id="rId41" Type="http://schemas.openxmlformats.org/officeDocument/2006/relationships/customXml" Target="../customXml/item1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[تحليل سوبر ماركت ان شاء الله.xlsx]pivots!PivotTable1</c:name>
    <c:fmtId val="3"/>
  </c:pivotSource>
  <c:chart>
    <c:title>
      <c:tx>
        <c:rich>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r>
              <a:rPr lang="ar-EG" sz="1800" b="1" u="none">
                <a:solidFill>
                  <a:sysClr val="windowText" lastClr="000000"/>
                </a:solidFill>
              </a:rPr>
              <a:t>اهم المنتجات من حيث </a:t>
            </a:r>
            <a:r>
              <a:rPr lang="ar-EG" sz="1800" b="1" u="sng">
                <a:solidFill>
                  <a:sysClr val="windowText" lastClr="000000"/>
                </a:solidFill>
              </a:rPr>
              <a:t>قيمة</a:t>
            </a:r>
            <a:r>
              <a:rPr lang="ar-EG" sz="1800" b="1" u="none">
                <a:solidFill>
                  <a:sysClr val="windowText" lastClr="000000"/>
                </a:solidFill>
              </a:rPr>
              <a:t> المبيعات</a:t>
            </a:r>
          </a:p>
        </c:rich>
      </c:tx>
      <c:layout>
        <c:manualLayout>
          <c:xMode val="edge"/>
          <c:yMode val="edge"/>
          <c:x val="0.18700109361329836"/>
          <c:y val="5.4852362204724413E-2"/>
        </c:manualLayout>
      </c:layout>
      <c:overlay val="0"/>
      <c:spPr>
        <a:solidFill>
          <a:schemeClr val="bg1">
            <a:lumMod val="85000"/>
          </a:schemeClr>
        </a:solidFill>
        <a:ln w="34925" cap="rnd" cmpd="sng">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pivots!$C$3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pivots!$B$4:$B$11</c:f>
              <c:strCache>
                <c:ptCount val="7"/>
                <c:pt idx="0">
                  <c:v>سكر</c:v>
                </c:pt>
                <c:pt idx="1">
                  <c:v>فول</c:v>
                </c:pt>
                <c:pt idx="2">
                  <c:v>مكرونة</c:v>
                </c:pt>
                <c:pt idx="3">
                  <c:v>قهوة</c:v>
                </c:pt>
                <c:pt idx="4">
                  <c:v>جبنة نباتية</c:v>
                </c:pt>
                <c:pt idx="5">
                  <c:v>عدس</c:v>
                </c:pt>
                <c:pt idx="6">
                  <c:v>مسحوق غسيل</c:v>
                </c:pt>
              </c:strCache>
            </c:strRef>
          </c:cat>
          <c:val>
            <c:numRef>
              <c:f>pivots!$C$4:$C$11</c:f>
              <c:numCache>
                <c:formatCode>General</c:formatCode>
                <c:ptCount val="7"/>
                <c:pt idx="0">
                  <c:v>441774.30999999988</c:v>
                </c:pt>
                <c:pt idx="1">
                  <c:v>405852.64999999973</c:v>
                </c:pt>
                <c:pt idx="2">
                  <c:v>399687.58000000007</c:v>
                </c:pt>
                <c:pt idx="3">
                  <c:v>374044.69000000006</c:v>
                </c:pt>
                <c:pt idx="4">
                  <c:v>365234.27999999997</c:v>
                </c:pt>
                <c:pt idx="5">
                  <c:v>359888.20000000013</c:v>
                </c:pt>
                <c:pt idx="6">
                  <c:v>354416.16000000003</c:v>
                </c:pt>
              </c:numCache>
            </c:numRef>
          </c:val>
          <c:extLst>
            <c:ext xmlns:c16="http://schemas.microsoft.com/office/drawing/2014/chart" uri="{C3380CC4-5D6E-409C-BE32-E72D297353CC}">
              <c16:uniqueId val="{00000001-E4BF-4358-ADEA-F43EB5A6C8C1}"/>
            </c:ext>
          </c:extLst>
        </c:ser>
        <c:dLbls>
          <c:showLegendKey val="0"/>
          <c:showVal val="0"/>
          <c:showCatName val="0"/>
          <c:showSerName val="0"/>
          <c:showPercent val="0"/>
          <c:showBubbleSize val="0"/>
        </c:dLbls>
        <c:gapWidth val="150"/>
        <c:axId val="1861200927"/>
        <c:axId val="1255355295"/>
      </c:barChart>
      <c:catAx>
        <c:axId val="1861200927"/>
        <c:scaling>
          <c:orientation val="minMax"/>
        </c:scaling>
        <c:delete val="0"/>
        <c:axPos val="b"/>
        <c:numFmt formatCode="General" sourceLinked="1"/>
        <c:majorTickMark val="none"/>
        <c:minorTickMark val="none"/>
        <c:tickLblPos val="nextTo"/>
        <c:spPr>
          <a:noFill/>
          <a:ln w="47625" cap="rnd">
            <a:solidFill>
              <a:schemeClr val="accent1">
                <a:lumMod val="60000"/>
                <a:lumOff val="40000"/>
              </a:schemeClr>
            </a:solidFill>
            <a:headEnd type="none"/>
            <a:tailEnd type="triangle"/>
          </a:ln>
          <a:effectLst>
            <a:softEdge rad="0"/>
          </a:effectLst>
        </c:spPr>
        <c:txPr>
          <a:bodyPr rot="0" spcFirstLastPara="1" vertOverflow="ellipsis" wrap="square" anchor="ctr" anchorCtr="0"/>
          <a:lstStyle/>
          <a:p>
            <a:pPr>
              <a:defRPr sz="1200" b="1" i="0" u="none" strike="noStrike" kern="1200" baseline="0">
                <a:ln>
                  <a:noFill/>
                </a:ln>
                <a:solidFill>
                  <a:sysClr val="windowText" lastClr="000000"/>
                </a:solidFill>
                <a:latin typeface="+mn-lt"/>
                <a:ea typeface="+mn-ea"/>
                <a:cs typeface="+mn-cs"/>
              </a:defRPr>
            </a:pPr>
            <a:endParaRPr lang="en-US"/>
          </a:p>
        </c:txPr>
        <c:crossAx val="1255355295"/>
        <c:crosses val="autoZero"/>
        <c:auto val="1"/>
        <c:lblAlgn val="ctr"/>
        <c:lblOffset val="100"/>
        <c:noMultiLvlLbl val="0"/>
      </c:catAx>
      <c:valAx>
        <c:axId val="1255355295"/>
        <c:scaling>
          <c:orientation val="minMax"/>
        </c:scaling>
        <c:delete val="1"/>
        <c:axPos val="l"/>
        <c:numFmt formatCode="General" sourceLinked="1"/>
        <c:majorTickMark val="none"/>
        <c:minorTickMark val="none"/>
        <c:tickLblPos val="nextTo"/>
        <c:crossAx val="1861200927"/>
        <c:crosses val="autoZero"/>
        <c:crossBetween val="between"/>
      </c:valAx>
    </c:plotArea>
    <c:plotVisOnly val="1"/>
    <c:dispBlanksAs val="gap"/>
    <c:showDLblsOverMax val="0"/>
    <c:extLst/>
  </c:chart>
  <c:spPr>
    <a:solidFill>
      <a:schemeClr val="bg1"/>
    </a:solidFill>
    <a:ln w="60325" cap="rnd"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[تحليل سوبر ماركت ان شاء الله.xlsx]pivots!PivotTable6</c:name>
    <c:fmtId val="3"/>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ar-EG" sz="1800" b="1">
                <a:solidFill>
                  <a:sysClr val="windowText" lastClr="000000"/>
                </a:solidFill>
              </a:rPr>
              <a:t>المبيعات الشهرية</a:t>
            </a:r>
            <a:endParaRPr lang="en-US" sz="1800" b="1">
              <a:solidFill>
                <a:sysClr val="windowText" lastClr="000000"/>
              </a:solidFill>
            </a:endParaRPr>
          </a:p>
        </c:rich>
      </c:tx>
      <c:layout>
        <c:manualLayout>
          <c:xMode val="edge"/>
          <c:yMode val="edge"/>
          <c:x val="0.3616237970253719"/>
          <c:y val="3.1359361329833774E-2"/>
        </c:manualLayout>
      </c:layout>
      <c:overlay val="0"/>
      <c:spPr>
        <a:solidFill>
          <a:schemeClr val="bg2"/>
        </a:solidFill>
        <a:ln>
          <a:noFill/>
        </a:ln>
        <a:effectLst>
          <a:glow rad="63500">
            <a:schemeClr val="accent1">
              <a:satMod val="175000"/>
              <a:alpha val="40000"/>
            </a:schemeClr>
          </a:glow>
          <a:outerShdw blurRad="50800" dist="38100" dir="2700000" algn="tl" rotWithShape="0">
            <a:prstClr val="black">
              <a:alpha val="40000"/>
            </a:prstClr>
          </a:outerShdw>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ln w="28575" cap="rnd">
            <a:solidFill>
              <a:schemeClr val="accent1"/>
            </a:solidFill>
            <a:round/>
          </a:ln>
          <a:effectLst/>
        </c:spPr>
        <c:marker>
          <c:symbol val="triangle"/>
          <c:size val="5"/>
          <c:spPr>
            <a:solidFill>
              <a:schemeClr val="tx1">
                <a:lumMod val="75000"/>
                <a:lumOff val="25000"/>
              </a:schemeClr>
            </a:solidFill>
            <a:ln w="9525">
              <a:solidFill>
                <a:schemeClr val="accent1"/>
              </a:solidFill>
            </a:ln>
            <a:effectLst/>
          </c:spPr>
        </c:marker>
        <c:dLbl>
          <c:idx val="0"/>
          <c:numFmt formatCode="General"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924978127734032E-2"/>
          <c:y val="0.32699511519393409"/>
          <c:w val="0.93970538506009926"/>
          <c:h val="0.57429755337577493"/>
        </c:manualLayout>
      </c:layout>
      <c:lineChart>
        <c:grouping val="standard"/>
        <c:varyColors val="0"/>
        <c:ser>
          <c:idx val="0"/>
          <c:order val="0"/>
          <c:tx>
            <c:strRef>
              <c:f>pivots!$E$14</c:f>
              <c:strCache>
                <c:ptCount val="1"/>
                <c:pt idx="0">
                  <c:v>Total</c:v>
                </c:pt>
              </c:strCache>
            </c:strRef>
          </c:tx>
          <c:spPr>
            <a:ln w="28575" cap="rnd">
              <a:solidFill>
                <a:schemeClr val="accent1"/>
              </a:solidFill>
              <a:round/>
            </a:ln>
            <a:effectLst/>
          </c:spPr>
          <c:marker>
            <c:symbol val="triangle"/>
            <c:size val="5"/>
            <c:spPr>
              <a:solidFill>
                <a:schemeClr val="tx1">
                  <a:lumMod val="75000"/>
                  <a:lumOff val="25000"/>
                </a:schemeClr>
              </a:solidFill>
              <a:ln w="9525">
                <a:solidFill>
                  <a:schemeClr val="accent1"/>
                </a:solidFill>
              </a:ln>
              <a:effectLst/>
            </c:spPr>
          </c:marker>
          <c:dLbls>
            <c:numFmt formatCode="General"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pivots!$D$15:$D$21</c:f>
              <c:strCache>
                <c:ptCount val="6"/>
                <c:pt idx="0">
                  <c:v>يناير</c:v>
                </c:pt>
                <c:pt idx="1">
                  <c:v>فبراير</c:v>
                </c:pt>
                <c:pt idx="2">
                  <c:v>مارس</c:v>
                </c:pt>
                <c:pt idx="3">
                  <c:v>ابريل</c:v>
                </c:pt>
                <c:pt idx="4">
                  <c:v>مايو</c:v>
                </c:pt>
                <c:pt idx="5">
                  <c:v>يونيو</c:v>
                </c:pt>
              </c:strCache>
            </c:strRef>
          </c:cat>
          <c:val>
            <c:numRef>
              <c:f>pivots!$E$15:$E$21</c:f>
              <c:numCache>
                <c:formatCode>General</c:formatCode>
                <c:ptCount val="6"/>
                <c:pt idx="0">
                  <c:v>1529978.62</c:v>
                </c:pt>
                <c:pt idx="1">
                  <c:v>1220592.3200000005</c:v>
                </c:pt>
                <c:pt idx="2">
                  <c:v>1372888.0399999991</c:v>
                </c:pt>
                <c:pt idx="3">
                  <c:v>1186554.7800000003</c:v>
                </c:pt>
                <c:pt idx="4">
                  <c:v>1408672.6399999997</c:v>
                </c:pt>
                <c:pt idx="5">
                  <c:v>1315913.5799999996</c:v>
                </c:pt>
              </c:numCache>
            </c:numRef>
          </c:val>
          <c:smooth val="0"/>
          <c:extLst>
            <c:ext xmlns:c16="http://schemas.microsoft.com/office/drawing/2014/chart" uri="{C3380CC4-5D6E-409C-BE32-E72D297353CC}">
              <c16:uniqueId val="{00000003-08C5-49FB-A19D-1705FF9F7EDC}"/>
            </c:ext>
          </c:extLst>
        </c:ser>
        <c:dLbls>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468308944"/>
        <c:axId val="1468312688"/>
      </c:lineChart>
      <c:dateAx>
        <c:axId val="146830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312688"/>
        <c:crosses val="autoZero"/>
        <c:auto val="0"/>
        <c:lblOffset val="100"/>
        <c:baseTimeUnit val="days"/>
      </c:dateAx>
      <c:valAx>
        <c:axId val="1468312688"/>
        <c:scaling>
          <c:orientation val="minMax"/>
        </c:scaling>
        <c:delete val="1"/>
        <c:axPos val="l"/>
        <c:numFmt formatCode="General" sourceLinked="1"/>
        <c:majorTickMark val="none"/>
        <c:minorTickMark val="none"/>
        <c:tickLblPos val="nextTo"/>
        <c:crossAx val="1468308944"/>
        <c:crosses val="autoZero"/>
        <c:crossBetween val="between"/>
      </c:valAx>
      <c:spPr>
        <a:noFill/>
        <a:ln>
          <a:noFill/>
        </a:ln>
        <a:effectLst/>
      </c:spPr>
    </c:plotArea>
    <c:plotVisOnly val="1"/>
    <c:dispBlanksAs val="gap"/>
    <c:showDLblsOverMax val="0"/>
    <c:extLst/>
  </c:chart>
  <c:spPr>
    <a:solidFill>
      <a:schemeClr val="bg1"/>
    </a:solidFill>
    <a:ln w="60325" cap="rnd"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[تحليل سوبر ماركت ان شاء الله.xlsx]pivots!PivotTable7</c:name>
    <c:fmtId val="3"/>
  </c:pivotSource>
  <c:chart>
    <c:title>
      <c:tx>
        <c:rich>
          <a:bodyPr rot="0" spcFirstLastPara="1" vertOverflow="ellipsis" vert="horz" wrap="square" anchor="ctr" anchorCtr="1"/>
          <a:lstStyle/>
          <a:p>
            <a:pPr algn="ctr">
              <a:defRPr sz="1800" b="0" i="0" u="none" strike="noStrike" kern="1200" spc="0" baseline="0">
                <a:solidFill>
                  <a:sysClr val="windowText" lastClr="000000"/>
                </a:solidFill>
                <a:latin typeface="+mn-lt"/>
                <a:ea typeface="+mn-ea"/>
                <a:cs typeface="+mn-cs"/>
              </a:defRPr>
            </a:pPr>
            <a:r>
              <a:rPr lang="ar-EG" sz="1800" b="1" i="0" baseline="0">
                <a:solidFill>
                  <a:sysClr val="windowText" lastClr="000000"/>
                </a:solidFill>
                <a:effectLst/>
              </a:rPr>
              <a:t>اهم المنتجات من حيث </a:t>
            </a:r>
            <a:r>
              <a:rPr lang="ar-EG" sz="1800" b="1" i="0" u="sng" baseline="0">
                <a:solidFill>
                  <a:sysClr val="windowText" lastClr="000000"/>
                </a:solidFill>
                <a:effectLst/>
              </a:rPr>
              <a:t>كمية</a:t>
            </a:r>
            <a:r>
              <a:rPr lang="ar-EG" sz="1800" b="1" i="0" baseline="0">
                <a:solidFill>
                  <a:sysClr val="windowText" lastClr="000000"/>
                </a:solidFill>
                <a:effectLst/>
              </a:rPr>
              <a:t> المبيعات</a:t>
            </a:r>
            <a:endParaRPr lang="en-US">
              <a:solidFill>
                <a:sysClr val="windowText" lastClr="000000"/>
              </a:solidFill>
              <a:effectLst/>
            </a:endParaRPr>
          </a:p>
        </c:rich>
      </c:tx>
      <c:layout>
        <c:manualLayout>
          <c:xMode val="edge"/>
          <c:yMode val="edge"/>
          <c:x val="0.18700109361329836"/>
          <c:y val="5.4852362204724413E-2"/>
        </c:manualLayout>
      </c:layout>
      <c:overlay val="0"/>
      <c:spPr>
        <a:solidFill>
          <a:schemeClr val="bg1">
            <a:lumMod val="85000"/>
          </a:schemeClr>
        </a:solidFill>
        <a:ln w="34925" cap="rnd" cmpd="sng">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rgbClr val="92D050"/>
          </a:solidFill>
          <a:ln>
            <a:noFill/>
          </a:ln>
          <a:effectLst/>
        </c:spPr>
        <c:marker>
          <c:symbol val="none"/>
        </c:marker>
        <c:dLbl>
          <c:idx val="0"/>
          <c:delete val="1"/>
          <c:extLst>
            <c:ext xmlns:c15="http://schemas.microsoft.com/office/drawing/2012/chart" uri="{CE6537A1-D6FC-4f65-9D91-7224C49458BB}"/>
          </c:extLst>
        </c:dLbl>
      </c:pivotFmt>
      <c:pivotFmt>
        <c:idx val="11"/>
      </c:pivotFmt>
    </c:pivotFmts>
    <c:plotArea>
      <c:layout/>
      <c:barChart>
        <c:barDir val="col"/>
        <c:grouping val="clustered"/>
        <c:varyColors val="0"/>
        <c:ser>
          <c:idx val="0"/>
          <c:order val="0"/>
          <c:tx>
            <c:strRef>
              <c:f>pivots!$E$24</c:f>
              <c:strCache>
                <c:ptCount val="1"/>
                <c:pt idx="0">
                  <c:v>Total</c:v>
                </c:pt>
              </c:strCache>
            </c:strRef>
          </c:tx>
          <c:spPr>
            <a:solidFill>
              <a:srgbClr val="92D050"/>
            </a:solidFill>
            <a:ln>
              <a:noFill/>
            </a:ln>
            <a:effectLst/>
          </c:spPr>
          <c:invertIfNegative val="0"/>
          <c:trendline>
            <c:spPr>
              <a:ln w="19050" cap="rnd">
                <a:solidFill>
                  <a:schemeClr val="accent1"/>
                </a:solidFill>
                <a:prstDash val="sysDot"/>
              </a:ln>
              <a:effectLst/>
            </c:spPr>
            <c:trendlineType val="linear"/>
            <c:dispRSqr val="0"/>
            <c:dispEq val="0"/>
          </c:trendline>
          <c:cat>
            <c:strRef>
              <c:f>pivots!$D$25:$D$32</c:f>
              <c:strCache>
                <c:ptCount val="7"/>
                <c:pt idx="0">
                  <c:v>سكر</c:v>
                </c:pt>
                <c:pt idx="1">
                  <c:v>مكرونة</c:v>
                </c:pt>
                <c:pt idx="2">
                  <c:v>فول</c:v>
                </c:pt>
                <c:pt idx="3">
                  <c:v>قهوة</c:v>
                </c:pt>
                <c:pt idx="4">
                  <c:v>مسحوق غسيل</c:v>
                </c:pt>
                <c:pt idx="5">
                  <c:v>جبنة نباتية</c:v>
                </c:pt>
                <c:pt idx="6">
                  <c:v>أرز</c:v>
                </c:pt>
              </c:strCache>
            </c:strRef>
          </c:cat>
          <c:val>
            <c:numRef>
              <c:f>pivots!$E$25:$E$32</c:f>
              <c:numCache>
                <c:formatCode>General</c:formatCode>
                <c:ptCount val="7"/>
                <c:pt idx="0">
                  <c:v>7526</c:v>
                </c:pt>
                <c:pt idx="1">
                  <c:v>6835</c:v>
                </c:pt>
                <c:pt idx="2">
                  <c:v>6794</c:v>
                </c:pt>
                <c:pt idx="3">
                  <c:v>6455</c:v>
                </c:pt>
                <c:pt idx="4">
                  <c:v>6199</c:v>
                </c:pt>
                <c:pt idx="5">
                  <c:v>6121</c:v>
                </c:pt>
                <c:pt idx="6">
                  <c:v>5729</c:v>
                </c:pt>
              </c:numCache>
            </c:numRef>
          </c:val>
          <c:extLst>
            <c:ext xmlns:c16="http://schemas.microsoft.com/office/drawing/2014/chart" uri="{C3380CC4-5D6E-409C-BE32-E72D297353CC}">
              <c16:uniqueId val="{00000007-B644-4867-98AE-64F40784263C}"/>
            </c:ext>
          </c:extLst>
        </c:ser>
        <c:dLbls>
          <c:showLegendKey val="0"/>
          <c:showVal val="0"/>
          <c:showCatName val="0"/>
          <c:showSerName val="0"/>
          <c:showPercent val="0"/>
          <c:showBubbleSize val="0"/>
        </c:dLbls>
        <c:gapWidth val="150"/>
        <c:axId val="1861200927"/>
        <c:axId val="1255355295"/>
      </c:barChart>
      <c:catAx>
        <c:axId val="1861200927"/>
        <c:scaling>
          <c:orientation val="minMax"/>
        </c:scaling>
        <c:delete val="0"/>
        <c:axPos val="b"/>
        <c:numFmt formatCode="General" sourceLinked="1"/>
        <c:majorTickMark val="none"/>
        <c:minorTickMark val="none"/>
        <c:tickLblPos val="nextTo"/>
        <c:spPr>
          <a:noFill/>
          <a:ln w="47625" cap="rnd">
            <a:solidFill>
              <a:schemeClr val="accent1">
                <a:lumMod val="60000"/>
                <a:lumOff val="40000"/>
              </a:schemeClr>
            </a:solidFill>
            <a:headEnd type="none"/>
            <a:tailEnd type="triangle"/>
          </a:ln>
          <a:effectLst>
            <a:softEdge rad="0"/>
          </a:effectLst>
        </c:spPr>
        <c:txPr>
          <a:bodyPr rot="0" spcFirstLastPara="1" vertOverflow="ellipsis" wrap="square" anchor="ctr" anchorCtr="0"/>
          <a:lstStyle/>
          <a:p>
            <a:pPr>
              <a:defRPr sz="1200" b="1" i="0" u="none" strike="noStrike" kern="1200" baseline="0">
                <a:ln>
                  <a:noFill/>
                </a:ln>
                <a:solidFill>
                  <a:sysClr val="windowText" lastClr="000000"/>
                </a:solidFill>
                <a:latin typeface="+mn-lt"/>
                <a:ea typeface="+mn-ea"/>
                <a:cs typeface="+mn-cs"/>
              </a:defRPr>
            </a:pPr>
            <a:endParaRPr lang="en-US"/>
          </a:p>
        </c:txPr>
        <c:crossAx val="1255355295"/>
        <c:crosses val="autoZero"/>
        <c:auto val="1"/>
        <c:lblAlgn val="ctr"/>
        <c:lblOffset val="100"/>
        <c:noMultiLvlLbl val="0"/>
      </c:catAx>
      <c:valAx>
        <c:axId val="1255355295"/>
        <c:scaling>
          <c:orientation val="minMax"/>
        </c:scaling>
        <c:delete val="1"/>
        <c:axPos val="l"/>
        <c:numFmt formatCode="General" sourceLinked="1"/>
        <c:majorTickMark val="none"/>
        <c:minorTickMark val="none"/>
        <c:tickLblPos val="nextTo"/>
        <c:crossAx val="1861200927"/>
        <c:crosses val="autoZero"/>
        <c:crossBetween val="between"/>
      </c:valAx>
    </c:plotArea>
    <c:plotVisOnly val="1"/>
    <c:dispBlanksAs val="gap"/>
    <c:showDLblsOverMax val="0"/>
    <c:extLst/>
  </c:chart>
  <c:spPr>
    <a:solidFill>
      <a:schemeClr val="bg1"/>
    </a:solidFill>
    <a:ln w="60325" cap="rnd"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[تحليل سوبر ماركت ان شاء الله.xlsx]pivots!PivotTable8</c:name>
    <c:fmtId val="3"/>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ar-EG" sz="1800" b="1">
                <a:solidFill>
                  <a:sysClr val="windowText" lastClr="000000"/>
                </a:solidFill>
              </a:rPr>
              <a:t>اكثر الفئات مبيعا</a:t>
            </a:r>
          </a:p>
        </c:rich>
      </c:tx>
      <c:layout>
        <c:manualLayout>
          <c:xMode val="edge"/>
          <c:yMode val="edge"/>
          <c:x val="0.3616237970253719"/>
          <c:y val="3.1359361329833774E-2"/>
        </c:manualLayout>
      </c:layout>
      <c:overlay val="0"/>
      <c:spPr>
        <a:solidFill>
          <a:schemeClr val="bg2"/>
        </a:solidFill>
        <a:ln>
          <a:noFill/>
        </a:ln>
        <a:effectLst>
          <a:glow rad="63500">
            <a:schemeClr val="accent1">
              <a:satMod val="175000"/>
              <a:alpha val="40000"/>
            </a:schemeClr>
          </a:glow>
          <a:outerShdw blurRad="50800" dist="38100" dir="2700000" algn="tl" rotWithShape="0">
            <a:prstClr val="black">
              <a:alpha val="40000"/>
            </a:prstClr>
          </a:outerShdw>
        </a:effectLst>
      </c:sp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solidFill>
              <a:schemeClr val="bg1">
                <a:lumMod val="65000"/>
              </a:schemeClr>
            </a:solidFill>
            <a:ln>
              <a:noFill/>
            </a:ln>
            <a:effectLst/>
          </c:spPr>
          <c:txPr>
            <a:bodyPr rot="0" spcFirstLastPara="1" vertOverflow="ellipsis" vert="horz" wrap="square" lIns="38100" tIns="19050" rIns="38100" bIns="19050" anchor="ctr" anchorCtr="0">
              <a:spAutoFit/>
            </a:bodyPr>
            <a:lstStyle/>
            <a:p>
              <a:pPr algn="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2181240502832"/>
          <c:y val="0.32699511519393409"/>
          <c:w val="0.69237518994336233"/>
          <c:h val="0.57429755337577493"/>
        </c:manualLayout>
      </c:layout>
      <c:barChart>
        <c:barDir val="bar"/>
        <c:grouping val="clustered"/>
        <c:varyColors val="0"/>
        <c:ser>
          <c:idx val="0"/>
          <c:order val="0"/>
          <c:tx>
            <c:strRef>
              <c:f>pivots!$H$15</c:f>
              <c:strCache>
                <c:ptCount val="1"/>
                <c:pt idx="0">
                  <c:v>Total</c:v>
                </c:pt>
              </c:strCache>
            </c:strRef>
          </c:tx>
          <c:spPr>
            <a:ln w="28575" cap="rnd">
              <a:solidFill>
                <a:schemeClr val="accent1"/>
              </a:solidFill>
              <a:round/>
            </a:ln>
            <a:effectLst/>
          </c:spPr>
          <c:invertIfNegative val="0"/>
          <c:dLbls>
            <c:spPr>
              <a:solidFill>
                <a:schemeClr val="bg1">
                  <a:lumMod val="65000"/>
                </a:schemeClr>
              </a:solidFill>
              <a:ln>
                <a:noFill/>
              </a:ln>
              <a:effectLst/>
            </c:spPr>
            <c:txPr>
              <a:bodyPr rot="0" spcFirstLastPara="1" vertOverflow="ellipsis" vert="horz" wrap="square" lIns="38100" tIns="19050" rIns="38100" bIns="19050" anchor="ctr" anchorCtr="0">
                <a:spAutoFit/>
              </a:bodyPr>
              <a:lstStyle/>
              <a:p>
                <a:pPr algn="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pivots!$G$16:$G$21</c:f>
              <c:strCache>
                <c:ptCount val="5"/>
                <c:pt idx="0">
                  <c:v>ورقيات</c:v>
                </c:pt>
                <c:pt idx="1">
                  <c:v>حلويات</c:v>
                </c:pt>
                <c:pt idx="2">
                  <c:v>مشروبات</c:v>
                </c:pt>
                <c:pt idx="3">
                  <c:v>منظفات</c:v>
                </c:pt>
                <c:pt idx="4">
                  <c:v>غذائى</c:v>
                </c:pt>
              </c:strCache>
            </c:strRef>
          </c:cat>
          <c:val>
            <c:numRef>
              <c:f>pivots!$H$16:$H$21</c:f>
              <c:numCache>
                <c:formatCode>0.00%</c:formatCode>
                <c:ptCount val="5"/>
                <c:pt idx="0">
                  <c:v>4.193880850804968E-2</c:v>
                </c:pt>
                <c:pt idx="1">
                  <c:v>8.0760636698181912E-2</c:v>
                </c:pt>
                <c:pt idx="2">
                  <c:v>0.10852357829518225</c:v>
                </c:pt>
                <c:pt idx="3">
                  <c:v>0.34070887621215451</c:v>
                </c:pt>
                <c:pt idx="4">
                  <c:v>0.42806810028643116</c:v>
                </c:pt>
              </c:numCache>
            </c:numRef>
          </c:val>
          <c:extLst>
            <c:ext xmlns:c16="http://schemas.microsoft.com/office/drawing/2014/chart" uri="{C3380CC4-5D6E-409C-BE32-E72D297353CC}">
              <c16:uniqueId val="{00000005-5889-4882-AB7A-B65482E0E749}"/>
            </c:ext>
          </c:extLst>
        </c:ser>
        <c:dLbls>
          <c:dLblPos val="outEnd"/>
          <c:showLegendKey val="0"/>
          <c:showVal val="1"/>
          <c:showCatName val="0"/>
          <c:showSerName val="0"/>
          <c:showPercent val="0"/>
          <c:showBubbleSize val="0"/>
        </c:dLbls>
        <c:gapWidth val="150"/>
        <c:axId val="1468308944"/>
        <c:axId val="1468312688"/>
      </c:barChart>
      <c:valAx>
        <c:axId val="1468312688"/>
        <c:scaling>
          <c:orientation val="minMax"/>
        </c:scaling>
        <c:delete val="1"/>
        <c:axPos val="b"/>
        <c:numFmt formatCode="0.00%" sourceLinked="1"/>
        <c:majorTickMark val="none"/>
        <c:minorTickMark val="none"/>
        <c:tickLblPos val="nextTo"/>
        <c:crossAx val="1468308944"/>
        <c:crosses val="autoZero"/>
        <c:crossBetween val="between"/>
      </c:valAx>
      <c:dateAx>
        <c:axId val="1468308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1468312688"/>
        <c:crosses val="autoZero"/>
        <c:auto val="0"/>
        <c:lblOffset val="100"/>
        <c:baseTimeUnit val="days"/>
      </c:dateAx>
    </c:plotArea>
    <c:plotVisOnly val="1"/>
    <c:dispBlanksAs val="gap"/>
    <c:showDLblsOverMax val="0"/>
    <c:extLst/>
  </c:chart>
  <c:spPr>
    <a:solidFill>
      <a:schemeClr val="bg1"/>
    </a:solidFill>
    <a:ln w="60325" cap="rnd"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[تحليل سوبر ماركت ان شاء الله.xlsx]pivots!PivotTable10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600" b="1">
                <a:solidFill>
                  <a:sysClr val="windowText" lastClr="000000"/>
                </a:solidFill>
              </a:rPr>
              <a:t>متوسط السعر</a:t>
            </a:r>
            <a:endParaRPr lang="ar-EG" sz="1600" b="1" baseline="0">
              <a:solidFill>
                <a:sysClr val="windowText" lastClr="000000"/>
              </a:solidFill>
            </a:endParaRPr>
          </a:p>
        </c:rich>
      </c:tx>
      <c:overlay val="0"/>
      <c:spPr>
        <a:solidFill>
          <a:schemeClr val="bg1">
            <a:lumMod val="85000"/>
          </a:schemeClr>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6712962962962963"/>
          <c:w val="0.93888888888888888"/>
          <c:h val="0.62391987459900855"/>
        </c:manualLayout>
      </c:layout>
      <c:lineChart>
        <c:grouping val="standard"/>
        <c:varyColors val="0"/>
        <c:ser>
          <c:idx val="0"/>
          <c:order val="0"/>
          <c:tx>
            <c:strRef>
              <c:f>pivots!$K$25</c:f>
              <c:strCache>
                <c:ptCount val="1"/>
                <c:pt idx="0">
                  <c:v>Total</c:v>
                </c:pt>
              </c:strCache>
            </c:strRef>
          </c:tx>
          <c:spPr>
            <a:ln w="28575" cap="rnd">
              <a:solidFill>
                <a:schemeClr val="accent1"/>
              </a:solidFill>
              <a:round/>
            </a:ln>
            <a:effectLst/>
          </c:spPr>
          <c:marker>
            <c:symbol val="none"/>
          </c:marker>
          <c:cat>
            <c:strRef>
              <c:f>pivots!$J$26:$J$32</c:f>
              <c:strCache>
                <c:ptCount val="6"/>
                <c:pt idx="0">
                  <c:v>يناير</c:v>
                </c:pt>
                <c:pt idx="1">
                  <c:v>فبراير</c:v>
                </c:pt>
                <c:pt idx="2">
                  <c:v>مارس</c:v>
                </c:pt>
                <c:pt idx="3">
                  <c:v>ابريل</c:v>
                </c:pt>
                <c:pt idx="4">
                  <c:v>مايو</c:v>
                </c:pt>
                <c:pt idx="5">
                  <c:v>يونيو</c:v>
                </c:pt>
              </c:strCache>
            </c:strRef>
          </c:cat>
          <c:val>
            <c:numRef>
              <c:f>pivots!$K$26:$K$32</c:f>
              <c:numCache>
                <c:formatCode>General</c:formatCode>
                <c:ptCount val="6"/>
                <c:pt idx="0">
                  <c:v>64.991990740740746</c:v>
                </c:pt>
                <c:pt idx="1">
                  <c:v>60.379631578947361</c:v>
                </c:pt>
                <c:pt idx="2">
                  <c:v>59.832523364485979</c:v>
                </c:pt>
                <c:pt idx="3">
                  <c:v>60.619948186528497</c:v>
                </c:pt>
                <c:pt idx="4">
                  <c:v>62.366881188118818</c:v>
                </c:pt>
                <c:pt idx="5">
                  <c:v>66.921243243243239</c:v>
                </c:pt>
              </c:numCache>
            </c:numRef>
          </c:val>
          <c:smooth val="0"/>
          <c:extLst>
            <c:ext xmlns:c16="http://schemas.microsoft.com/office/drawing/2014/chart" uri="{C3380CC4-5D6E-409C-BE32-E72D297353CC}">
              <c16:uniqueId val="{00000000-FD44-4A8B-A49E-D788FDA1D12D}"/>
            </c:ext>
          </c:extLst>
        </c:ser>
        <c:dLbls>
          <c:showLegendKey val="0"/>
          <c:showVal val="0"/>
          <c:showCatName val="0"/>
          <c:showSerName val="0"/>
          <c:showPercent val="0"/>
          <c:showBubbleSize val="0"/>
        </c:dLbls>
        <c:smooth val="0"/>
        <c:axId val="855929760"/>
        <c:axId val="855945984"/>
      </c:lineChart>
      <c:catAx>
        <c:axId val="85592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855945984"/>
        <c:crosses val="autoZero"/>
        <c:auto val="1"/>
        <c:lblAlgn val="ctr"/>
        <c:lblOffset val="100"/>
        <c:noMultiLvlLbl val="0"/>
      </c:catAx>
      <c:valAx>
        <c:axId val="855945984"/>
        <c:scaling>
          <c:orientation val="minMax"/>
        </c:scaling>
        <c:delete val="1"/>
        <c:axPos val="l"/>
        <c:numFmt formatCode="General" sourceLinked="1"/>
        <c:majorTickMark val="none"/>
        <c:minorTickMark val="none"/>
        <c:tickLblPos val="nextTo"/>
        <c:crossAx val="855929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476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552450</xdr:colOff>
      <xdr:row>4</xdr:row>
      <xdr:rowOff>47625</xdr:rowOff>
    </xdr:from>
    <xdr:to>
      <xdr:col>10</xdr:col>
      <xdr:colOff>1524000</xdr:colOff>
      <xdr:row>18</xdr:row>
      <xdr:rowOff>104775</xdr:rowOff>
    </xdr:to>
    <xdr:graphicFrame macro="">
      <xdr:nvGraphicFramePr>
        <xdr:cNvPr id="2" name="Chart 1">
          <a:extLst>
            <a:ext uri="{FF2B5EF4-FFF2-40B4-BE49-F238E27FC236}">
              <a16:creationId xmlns:a16="http://schemas.microsoft.com/office/drawing/2014/main" id="{49148AD4-5DBD-48C2-9E66-302BD70BC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0</xdr:row>
      <xdr:rowOff>190500</xdr:rowOff>
    </xdr:from>
    <xdr:to>
      <xdr:col>7</xdr:col>
      <xdr:colOff>28576</xdr:colOff>
      <xdr:row>3</xdr:row>
      <xdr:rowOff>19050</xdr:rowOff>
    </xdr:to>
    <xdr:sp macro="" textlink="">
      <xdr:nvSpPr>
        <xdr:cNvPr id="3" name="Rectangle: Rounded Corners 2">
          <a:extLst>
            <a:ext uri="{FF2B5EF4-FFF2-40B4-BE49-F238E27FC236}">
              <a16:creationId xmlns:a16="http://schemas.microsoft.com/office/drawing/2014/main" id="{FC0B0B03-D56A-4897-94EE-00644AE492F2}"/>
            </a:ext>
          </a:extLst>
        </xdr:cNvPr>
        <xdr:cNvSpPr/>
      </xdr:nvSpPr>
      <xdr:spPr>
        <a:xfrm>
          <a:off x="3629025" y="190500"/>
          <a:ext cx="1504951" cy="685800"/>
        </a:xfrm>
        <a:prstGeom prst="roundRect">
          <a:avLst/>
        </a:prstGeom>
        <a:noFill/>
        <a:ln w="76200">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0</xdr:row>
      <xdr:rowOff>142876</xdr:rowOff>
    </xdr:from>
    <xdr:to>
      <xdr:col>11</xdr:col>
      <xdr:colOff>19050</xdr:colOff>
      <xdr:row>3</xdr:row>
      <xdr:rowOff>28576</xdr:rowOff>
    </xdr:to>
    <xdr:sp macro="" textlink="">
      <xdr:nvSpPr>
        <xdr:cNvPr id="7" name="Rectangle: Rounded Corners 6">
          <a:extLst>
            <a:ext uri="{FF2B5EF4-FFF2-40B4-BE49-F238E27FC236}">
              <a16:creationId xmlns:a16="http://schemas.microsoft.com/office/drawing/2014/main" id="{EAFDC461-8DF2-49E1-9846-B33E61629670}"/>
            </a:ext>
          </a:extLst>
        </xdr:cNvPr>
        <xdr:cNvSpPr/>
      </xdr:nvSpPr>
      <xdr:spPr>
        <a:xfrm>
          <a:off x="5743575" y="142876"/>
          <a:ext cx="2133600" cy="1104900"/>
        </a:xfrm>
        <a:prstGeom prst="roundRect">
          <a:avLst/>
        </a:prstGeom>
        <a:noFill/>
        <a:ln w="101600">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xdr:colOff>
      <xdr:row>0</xdr:row>
      <xdr:rowOff>152399</xdr:rowOff>
    </xdr:from>
    <xdr:to>
      <xdr:col>15</xdr:col>
      <xdr:colOff>19051</xdr:colOff>
      <xdr:row>3</xdr:row>
      <xdr:rowOff>28574</xdr:rowOff>
    </xdr:to>
    <xdr:sp macro="" textlink="">
      <xdr:nvSpPr>
        <xdr:cNvPr id="8" name="Rectangle: Rounded Corners 7">
          <a:extLst>
            <a:ext uri="{FF2B5EF4-FFF2-40B4-BE49-F238E27FC236}">
              <a16:creationId xmlns:a16="http://schemas.microsoft.com/office/drawing/2014/main" id="{F0F23D31-73D5-4BB5-B4F4-2F6B6AFB2B89}"/>
            </a:ext>
          </a:extLst>
        </xdr:cNvPr>
        <xdr:cNvSpPr/>
      </xdr:nvSpPr>
      <xdr:spPr>
        <a:xfrm>
          <a:off x="8458201" y="152399"/>
          <a:ext cx="1847850" cy="1095375"/>
        </a:xfrm>
        <a:prstGeom prst="roundRect">
          <a:avLst/>
        </a:prstGeom>
        <a:noFill/>
        <a:ln w="76200">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571500</xdr:colOff>
      <xdr:row>0</xdr:row>
      <xdr:rowOff>171450</xdr:rowOff>
    </xdr:from>
    <xdr:to>
      <xdr:col>19</xdr:col>
      <xdr:colOff>19050</xdr:colOff>
      <xdr:row>3</xdr:row>
      <xdr:rowOff>28575</xdr:rowOff>
    </xdr:to>
    <xdr:sp macro="" textlink="">
      <xdr:nvSpPr>
        <xdr:cNvPr id="9" name="Rectangle: Rounded Corners 8">
          <a:extLst>
            <a:ext uri="{FF2B5EF4-FFF2-40B4-BE49-F238E27FC236}">
              <a16:creationId xmlns:a16="http://schemas.microsoft.com/office/drawing/2014/main" id="{4BB29FDC-2CB0-4E7E-AF35-B99F28F1352E}"/>
            </a:ext>
          </a:extLst>
        </xdr:cNvPr>
        <xdr:cNvSpPr/>
      </xdr:nvSpPr>
      <xdr:spPr>
        <a:xfrm>
          <a:off x="10858500" y="171450"/>
          <a:ext cx="1885950" cy="1076325"/>
        </a:xfrm>
        <a:prstGeom prst="roundRect">
          <a:avLst/>
        </a:prstGeom>
        <a:noFill/>
        <a:ln w="76200">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xdr:colOff>
      <xdr:row>0</xdr:row>
      <xdr:rowOff>180974</xdr:rowOff>
    </xdr:from>
    <xdr:to>
      <xdr:col>15</xdr:col>
      <xdr:colOff>47626</xdr:colOff>
      <xdr:row>3</xdr:row>
      <xdr:rowOff>28574</xdr:rowOff>
    </xdr:to>
    <xdr:sp macro="" textlink="">
      <xdr:nvSpPr>
        <xdr:cNvPr id="10" name="Rectangle: Rounded Corners 9">
          <a:extLst>
            <a:ext uri="{FF2B5EF4-FFF2-40B4-BE49-F238E27FC236}">
              <a16:creationId xmlns:a16="http://schemas.microsoft.com/office/drawing/2014/main" id="{C257DF2F-A3A5-4440-BF2B-5F60593051EC}"/>
            </a:ext>
          </a:extLst>
        </xdr:cNvPr>
        <xdr:cNvSpPr/>
      </xdr:nvSpPr>
      <xdr:spPr>
        <a:xfrm>
          <a:off x="7810502" y="180974"/>
          <a:ext cx="1876424" cy="1066800"/>
        </a:xfrm>
        <a:prstGeom prst="roundRect">
          <a:avLst/>
        </a:prstGeom>
        <a:noFill/>
        <a:ln w="101600">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428626</xdr:colOff>
      <xdr:row>0</xdr:row>
      <xdr:rowOff>142875</xdr:rowOff>
    </xdr:from>
    <xdr:to>
      <xdr:col>19</xdr:col>
      <xdr:colOff>47626</xdr:colOff>
      <xdr:row>3</xdr:row>
      <xdr:rowOff>19050</xdr:rowOff>
    </xdr:to>
    <xdr:sp macro="" textlink="">
      <xdr:nvSpPr>
        <xdr:cNvPr id="11" name="Rectangle: Rounded Corners 10">
          <a:extLst>
            <a:ext uri="{FF2B5EF4-FFF2-40B4-BE49-F238E27FC236}">
              <a16:creationId xmlns:a16="http://schemas.microsoft.com/office/drawing/2014/main" id="{B1CE0841-01C8-44EB-9BD6-8B394DC2F509}"/>
            </a:ext>
          </a:extLst>
        </xdr:cNvPr>
        <xdr:cNvSpPr/>
      </xdr:nvSpPr>
      <xdr:spPr>
        <a:xfrm>
          <a:off x="10039351" y="142875"/>
          <a:ext cx="1943100" cy="1095375"/>
        </a:xfrm>
        <a:prstGeom prst="roundRect">
          <a:avLst/>
        </a:prstGeom>
        <a:noFill/>
        <a:ln w="101600">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533400</xdr:colOff>
      <xdr:row>0</xdr:row>
      <xdr:rowOff>161925</xdr:rowOff>
    </xdr:from>
    <xdr:to>
      <xdr:col>7</xdr:col>
      <xdr:colOff>28576</xdr:colOff>
      <xdr:row>3</xdr:row>
      <xdr:rowOff>19050</xdr:rowOff>
    </xdr:to>
    <xdr:sp macro="" textlink="">
      <xdr:nvSpPr>
        <xdr:cNvPr id="12" name="Rectangle: Rounded Corners 11">
          <a:extLst>
            <a:ext uri="{FF2B5EF4-FFF2-40B4-BE49-F238E27FC236}">
              <a16:creationId xmlns:a16="http://schemas.microsoft.com/office/drawing/2014/main" id="{AA1E703B-2876-42AF-B936-26256C6CCAC8}"/>
            </a:ext>
          </a:extLst>
        </xdr:cNvPr>
        <xdr:cNvSpPr/>
      </xdr:nvSpPr>
      <xdr:spPr>
        <a:xfrm>
          <a:off x="3581400" y="161925"/>
          <a:ext cx="1552576" cy="1076325"/>
        </a:xfrm>
        <a:prstGeom prst="roundRect">
          <a:avLst/>
        </a:prstGeom>
        <a:noFill/>
        <a:ln w="101600">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1657350</xdr:colOff>
      <xdr:row>4</xdr:row>
      <xdr:rowOff>47625</xdr:rowOff>
    </xdr:from>
    <xdr:to>
      <xdr:col>18</xdr:col>
      <xdr:colOff>447675</xdr:colOff>
      <xdr:row>18</xdr:row>
      <xdr:rowOff>123825</xdr:rowOff>
    </xdr:to>
    <xdr:graphicFrame macro="">
      <xdr:nvGraphicFramePr>
        <xdr:cNvPr id="14" name="Chart 13">
          <a:extLst>
            <a:ext uri="{FF2B5EF4-FFF2-40B4-BE49-F238E27FC236}">
              <a16:creationId xmlns:a16="http://schemas.microsoft.com/office/drawing/2014/main" id="{C73EE0D0-5D72-4852-92DE-1D664C39C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571500</xdr:colOff>
      <xdr:row>19</xdr:row>
      <xdr:rowOff>133350</xdr:rowOff>
    </xdr:from>
    <xdr:to>
      <xdr:col>12</xdr:col>
      <xdr:colOff>228600</xdr:colOff>
      <xdr:row>34</xdr:row>
      <xdr:rowOff>19050</xdr:rowOff>
    </xdr:to>
    <xdr:graphicFrame macro="">
      <xdr:nvGraphicFramePr>
        <xdr:cNvPr id="15" name="Chart 14">
          <a:extLst>
            <a:ext uri="{FF2B5EF4-FFF2-40B4-BE49-F238E27FC236}">
              <a16:creationId xmlns:a16="http://schemas.microsoft.com/office/drawing/2014/main" id="{377179D0-A54C-4BC0-B4A4-52DD260B8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9526</xdr:colOff>
      <xdr:row>0</xdr:row>
      <xdr:rowOff>85730</xdr:rowOff>
    </xdr:from>
    <xdr:to>
      <xdr:col>3</xdr:col>
      <xdr:colOff>200025</xdr:colOff>
      <xdr:row>11</xdr:row>
      <xdr:rowOff>19050</xdr:rowOff>
    </xdr:to>
    <mc:AlternateContent xmlns:mc="http://schemas.openxmlformats.org/markup-compatibility/2006" xmlns:a14="http://schemas.microsoft.com/office/drawing/2010/main">
      <mc:Choice Requires="a14">
        <xdr:graphicFrame macro="">
          <xdr:nvGraphicFramePr>
            <xdr:cNvPr id="5" name="month_arabic_name">
              <a:extLst>
                <a:ext uri="{FF2B5EF4-FFF2-40B4-BE49-F238E27FC236}">
                  <a16:creationId xmlns:a16="http://schemas.microsoft.com/office/drawing/2014/main" id="{A5A42F58-AFD9-4BCC-8AEA-2D09077C9AE2}"/>
                </a:ext>
              </a:extLst>
            </xdr:cNvPr>
            <xdr:cNvGraphicFramePr/>
          </xdr:nvGraphicFramePr>
          <xdr:xfrm>
            <a:off x="0" y="0"/>
            <a:ext cx="0" cy="0"/>
          </xdr:xfrm>
          <a:graphic>
            <a:graphicData uri="http://schemas.microsoft.com/office/drawing/2010/slicer">
              <sle:slicer xmlns:sle="http://schemas.microsoft.com/office/drawing/2010/slicer" name="month_arabic_name"/>
            </a:graphicData>
          </a:graphic>
        </xdr:graphicFrame>
      </mc:Choice>
      <mc:Fallback xmlns="">
        <xdr:sp macro="" textlink="">
          <xdr:nvSpPr>
            <xdr:cNvPr id="0" name=""/>
            <xdr:cNvSpPr>
              <a:spLocks noTextEdit="1"/>
            </xdr:cNvSpPr>
          </xdr:nvSpPr>
          <xdr:spPr>
            <a:xfrm>
              <a:off x="9526" y="85730"/>
              <a:ext cx="1819274" cy="2676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18</xdr:col>
      <xdr:colOff>561975</xdr:colOff>
      <xdr:row>4</xdr:row>
      <xdr:rowOff>114299</xdr:rowOff>
    </xdr:from>
    <xdr:to>
      <xdr:col>24</xdr:col>
      <xdr:colOff>523875</xdr:colOff>
      <xdr:row>18</xdr:row>
      <xdr:rowOff>180974</xdr:rowOff>
    </xdr:to>
    <xdr:graphicFrame macro="">
      <xdr:nvGraphicFramePr>
        <xdr:cNvPr id="16" name="Chart 15">
          <a:extLst>
            <a:ext uri="{FF2B5EF4-FFF2-40B4-BE49-F238E27FC236}">
              <a16:creationId xmlns:a16="http://schemas.microsoft.com/office/drawing/2014/main" id="{B8DC9998-D8A7-441B-A1B6-12DAE9B3E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11</xdr:row>
      <xdr:rowOff>142875</xdr:rowOff>
    </xdr:from>
    <xdr:to>
      <xdr:col>3</xdr:col>
      <xdr:colOff>209550</xdr:colOff>
      <xdr:row>26</xdr:row>
      <xdr:rowOff>180974</xdr:rowOff>
    </xdr:to>
    <mc:AlternateContent xmlns:mc="http://schemas.openxmlformats.org/markup-compatibility/2006" xmlns:a14="http://schemas.microsoft.com/office/drawing/2010/main">
      <mc:Choice Requires="a14">
        <xdr:graphicFrame macro="">
          <xdr:nvGraphicFramePr>
            <xdr:cNvPr id="6" name="الفئة">
              <a:extLst>
                <a:ext uri="{FF2B5EF4-FFF2-40B4-BE49-F238E27FC236}">
                  <a16:creationId xmlns:a16="http://schemas.microsoft.com/office/drawing/2014/main" id="{85DD1D49-9469-497C-AD98-AF2EE24EE696}"/>
                </a:ext>
              </a:extLst>
            </xdr:cNvPr>
            <xdr:cNvGraphicFramePr/>
          </xdr:nvGraphicFramePr>
          <xdr:xfrm>
            <a:off x="0" y="0"/>
            <a:ext cx="0" cy="0"/>
          </xdr:xfrm>
          <a:graphic>
            <a:graphicData uri="http://schemas.microsoft.com/office/drawing/2010/slicer">
              <sle:slicer xmlns:sle="http://schemas.microsoft.com/office/drawing/2010/slicer" name="الفئة"/>
            </a:graphicData>
          </a:graphic>
        </xdr:graphicFrame>
      </mc:Choice>
      <mc:Fallback xmlns="">
        <xdr:sp macro="" textlink="">
          <xdr:nvSpPr>
            <xdr:cNvPr id="0" name=""/>
            <xdr:cNvSpPr>
              <a:spLocks noTextEdit="1"/>
            </xdr:cNvSpPr>
          </xdr:nvSpPr>
          <xdr:spPr>
            <a:xfrm>
              <a:off x="0" y="2886075"/>
              <a:ext cx="1838325" cy="2895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600076</xdr:colOff>
      <xdr:row>0</xdr:row>
      <xdr:rowOff>133350</xdr:rowOff>
    </xdr:from>
    <xdr:to>
      <xdr:col>23</xdr:col>
      <xdr:colOff>9526</xdr:colOff>
      <xdr:row>3</xdr:row>
      <xdr:rowOff>57151</xdr:rowOff>
    </xdr:to>
    <xdr:sp macro="" textlink="">
      <xdr:nvSpPr>
        <xdr:cNvPr id="18" name="Rectangle: Rounded Corners 17">
          <a:extLst>
            <a:ext uri="{FF2B5EF4-FFF2-40B4-BE49-F238E27FC236}">
              <a16:creationId xmlns:a16="http://schemas.microsoft.com/office/drawing/2014/main" id="{55FE2211-59B5-4543-B218-83E15088749C}"/>
            </a:ext>
          </a:extLst>
        </xdr:cNvPr>
        <xdr:cNvSpPr/>
      </xdr:nvSpPr>
      <xdr:spPr>
        <a:xfrm>
          <a:off x="12430126" y="133350"/>
          <a:ext cx="1847850" cy="1143001"/>
        </a:xfrm>
        <a:prstGeom prst="roundRect">
          <a:avLst/>
        </a:prstGeom>
        <a:noFill/>
        <a:ln w="101600">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400050</xdr:colOff>
      <xdr:row>19</xdr:row>
      <xdr:rowOff>142875</xdr:rowOff>
    </xdr:from>
    <xdr:to>
      <xdr:col>20</xdr:col>
      <xdr:colOff>104775</xdr:colOff>
      <xdr:row>34</xdr:row>
      <xdr:rowOff>28575</xdr:rowOff>
    </xdr:to>
    <xdr:graphicFrame macro="">
      <xdr:nvGraphicFramePr>
        <xdr:cNvPr id="19" name="Chart 18">
          <a:extLst>
            <a:ext uri="{FF2B5EF4-FFF2-40B4-BE49-F238E27FC236}">
              <a16:creationId xmlns:a16="http://schemas.microsoft.com/office/drawing/2014/main" id="{A18BBD0F-133E-465C-A444-766B200D5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2.065164004627" backgroundQuery="1" createdVersion="7" refreshedVersion="7" minRefreshableVersion="3" recordCount="0" supportSubquery="1" supportAdvancedDrill="1" xr:uid="{7F6AB793-2F7D-40A9-A8B6-AEE2E8CDCFF6}">
  <cacheSource type="external" connectionId="9"/>
  <cacheFields count="2">
    <cacheField name="[Measures].[Sum of اجمالى  القيمة]" caption="Sum of اجمالى  القيمة" numFmtId="0" hierarchy="19" level="32767"/>
    <cacheField name="[month_name_arabic].[month_arabic_name].[month_arabic_name]" caption="month_arabic_name" numFmtId="0" hierarchy="4" level="1">
      <sharedItems count="6">
        <s v="يناير"/>
        <s v="فبراير"/>
        <s v="مارس"/>
        <s v="ابريل"/>
        <s v="مايو"/>
        <s v="يونيو"/>
      </sharedItems>
    </cacheField>
  </cacheFields>
  <cacheHierarchies count="27">
    <cacheHierarchy uniqueName="[date].[التاريخ]" caption="التاريخ" attribute="1" time="1" defaultMemberUniqueName="[date].[التاريخ].[All]" allUniqueName="[date].[التاريخ].[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التاريخ (Month)]" caption="التاريخ (Month)" attribute="1" defaultMemberUniqueName="[date].[التاريخ (Month)].[All]" allUniqueName="[date].[التاريخ (Month)].[All]" dimensionUniqueName="[date]" displayFolder="" count="0" memberValueDatatype="130" unbalanced="0"/>
    <cacheHierarchy uniqueName="[month_name_arabic].[month_no]" caption="month_no" attribute="1" defaultMemberUniqueName="[month_name_arabic].[month_no].[All]" allUniqueName="[month_name_arabic].[month_no].[All]" dimensionUniqueName="[month_name_arabic]" displayFolder="" count="0" memberValueDatatype="20" unbalanced="0"/>
    <cacheHierarchy uniqueName="[month_name_arabic].[month_arabic_name]" caption="month_arabic_name" attribute="1" defaultMemberUniqueName="[month_name_arabic].[month_arabic_name].[All]" allUniqueName="[month_name_arabic].[month_arabic_name].[All]" dimensionUniqueName="[month_name_arabic]" displayFolder="" count="2" memberValueDatatype="130" unbalanced="0">
      <fieldsUsage count="2">
        <fieldUsage x="-1"/>
        <fieldUsage x="1"/>
      </fieldsUsage>
    </cacheHierarchy>
    <cacheHierarchy uniqueName="[product_category].[المنتج]" caption="المنتج" attribute="1" defaultMemberUniqueName="[product_category].[المنتج].[All]" allUniqueName="[product_category].[المنتج].[All]" dimensionUniqueName="[product_category]" displayFolder="" count="0" memberValueDatatype="130" unbalanced="0"/>
    <cacheHierarchy uniqueName="[product_category].[الفئة]" caption="الفئة" attribute="1" defaultMemberUniqueName="[product_category].[الفئة].[All]" allUniqueName="[product_category].[الفئة].[All]" dimensionUniqueName="[product_category]" displayFolder="" count="0" memberValueDatatype="130" unbalanced="0"/>
    <cacheHierarchy uniqueName="[Supermarket_Data].[رقم الفاتورة]" caption="رقم الفاتورة" attribute="1" defaultMemberUniqueName="[Supermarket_Data].[رقم الفاتورة].[All]" allUniqueName="[Supermarket_Data].[رقم الفاتورة].[All]" dimensionUniqueName="[Supermarket_Data]" displayFolder="" count="0" memberValueDatatype="20" unbalanced="0"/>
    <cacheHierarchy uniqueName="[Supermarket_Data].[التاريخ]" caption="التاريخ" attribute="1" time="1" defaultMemberUniqueName="[Supermarket_Data].[التاريخ].[All]" allUniqueName="[Supermarket_Data].[التاريخ].[All]" dimensionUniqueName="[Supermarket_Data]" displayFolder="" count="0" memberValueDatatype="7" unbalanced="0"/>
    <cacheHierarchy uniqueName="[Supermarket_Data].[المنتج]" caption="المنتج" attribute="1" defaultMemberUniqueName="[Supermarket_Data].[المنتج].[All]" allUniqueName="[Supermarket_Data].[المنتج].[All]" dimensionUniqueName="[Supermarket_Data]" displayFolder="" count="0" memberValueDatatype="130" unbalanced="0"/>
    <cacheHierarchy uniqueName="[Supermarket_Data].[السعر_للواحدة]" caption="السعر_للواحدة" attribute="1" defaultMemberUniqueName="[Supermarket_Data].[السعر_للواحدة].[All]" allUniqueName="[Supermarket_Data].[السعر_للواحدة].[All]" dimensionUniqueName="[Supermarket_Data]" displayFolder="" count="0" memberValueDatatype="5" unbalanced="0"/>
    <cacheHierarchy uniqueName="[Supermarket_Data].[الكمية_المباعة]" caption="الكمية_المباعة" attribute="1" defaultMemberUniqueName="[Supermarket_Data].[الكمية_المباعة].[All]" allUniqueName="[Supermarket_Data].[الكمية_المباعة].[All]" dimensionUniqueName="[Supermarket_Data]" displayFolder="" count="0" memberValueDatatype="20" unbalanced="0"/>
    <cacheHierarchy uniqueName="[Supermarket_Data].[اجمالى  القيمة]" caption="اجمالى  القيمة" attribute="1" defaultMemberUniqueName="[Supermarket_Data].[اجمالى  القيمة].[All]" allUniqueName="[Supermarket_Data].[اجمالى  القيمة].[All]" dimensionUniqueName="[Supermarket_Data]" displayFolder="" count="0" memberValueDatatype="5" unbalanced="0"/>
    <cacheHierarchy uniqueName="[date].[التاريخ (Month Index)]" caption="التاريخ (Month Index)" attribute="1" defaultMemberUniqueName="[date].[التاريخ (Month Index)].[All]" allUniqueName="[date].[التاريخ (Month Index)].[All]" dimensionUniqueName="[date]" displayFolder="" count="0" memberValueDatatype="20" unbalanced="0" hidden="1"/>
    <cacheHierarchy uniqueName="[Measures].[__XL_Count Supermarket_Data]" caption="__XL_Count Supermarket_Data" measure="1" displayFolder="" measureGroup="Supermarket_Data" count="0" hidden="1"/>
    <cacheHierarchy uniqueName="[Measures].[__XL_Count date]" caption="__XL_Count date" measure="1" displayFolder="" measureGroup="date" count="0" hidden="1"/>
    <cacheHierarchy uniqueName="[Measures].[__XL_Count product_category]" caption="__XL_Count product_category" measure="1" displayFolder="" measureGroup="product_category" count="0" hidden="1"/>
    <cacheHierarchy uniqueName="[Measures].[__XL_Count month_name_arabic]" caption="__XL_Count month_name_arabic" measure="1" displayFolder="" measureGroup="month_name_arabic" count="0" hidden="1"/>
    <cacheHierarchy uniqueName="[Measures].[__No measures defined]" caption="__No measures defined" measure="1" displayFolder="" count="0" hidden="1"/>
    <cacheHierarchy uniqueName="[Measures].[Sum of اجمالى  القيمة]" caption="Sum of اجمالى  القيمة" measure="1" displayFolder="" measureGroup="Supermarket_Data"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الكمية_المباعة]" caption="Sum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Average of اجمالى  القيمة]" caption="Average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Average of الكمية_المباعة]" caption="Average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Sum of السعر_للواحدة]" caption="Sum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Average of السعر_للواحدة]" caption="Average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Count of المنتج]" caption="Count of المنتج" measure="1" displayFolder="" measureGroup="Supermarket_Data" count="0" hidden="1">
      <extLst>
        <ext xmlns:x15="http://schemas.microsoft.com/office/spreadsheetml/2010/11/main" uri="{B97F6D7D-B522-45F9-BDA1-12C45D357490}">
          <x15:cacheHierarchy aggregatedColumn="9"/>
        </ext>
      </extLst>
    </cacheHierarchy>
    <cacheHierarchy uniqueName="[Measures].[Distinct Count of المنتج]" caption="Distinct Count of المنتج" measure="1" displayFolder="" measureGroup="Supermarket_Data" count="0" hidden="1">
      <extLst>
        <ext xmlns:x15="http://schemas.microsoft.com/office/spreadsheetml/2010/11/main" uri="{B97F6D7D-B522-45F9-BDA1-12C45D357490}">
          <x15:cacheHierarchy aggregatedColumn="9"/>
        </ext>
      </extLst>
    </cacheHierarchy>
  </cacheHierarchies>
  <kpis count="0"/>
  <dimensions count="5">
    <dimension name="date" uniqueName="[date]" caption="date"/>
    <dimension measure="1" name="Measures" uniqueName="[Measures]" caption="Measures"/>
    <dimension name="month_name_arabic" uniqueName="[month_name_arabic]" caption="month_name_arabic"/>
    <dimension name="product_category" uniqueName="[product_category]" caption="product_category"/>
    <dimension name="Supermarket_Data" uniqueName="[Supermarket_Data]" caption="Supermarket_Data"/>
  </dimensions>
  <measureGroups count="4">
    <measureGroup name="date" caption="date"/>
    <measureGroup name="month_name_arabic" caption="month_name_arabic"/>
    <measureGroup name="product_category" caption="product_category"/>
    <measureGroup name="Supermarket_Data" caption="Supermarket_Data"/>
  </measureGroups>
  <maps count="8">
    <map measureGroup="0" dimension="0"/>
    <map measureGroup="0" dimension="2"/>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2.065776041665" backgroundQuery="1" createdVersion="7" refreshedVersion="7" minRefreshableVersion="3" recordCount="0" supportSubquery="1" supportAdvancedDrill="1" xr:uid="{CAA4846F-6E91-4CCD-8534-49A8E0F87C68}">
  <cacheSource type="external" connectionId="9"/>
  <cacheFields count="3">
    <cacheField name="[product_category].[المنتج].[المنتج]" caption="المنتج" numFmtId="0" hierarchy="5" level="1">
      <sharedItems count="7">
        <s v="جبنة نباتية"/>
        <s v="سكر"/>
        <s v="عدس"/>
        <s v="فول"/>
        <s v="قهوة"/>
        <s v="مسحوق غسيل"/>
        <s v="مكرونة"/>
      </sharedItems>
    </cacheField>
    <cacheField name="[Measures].[Sum of اجمالى  القيمة]" caption="Sum of اجمالى  القيمة" numFmtId="0" hierarchy="19" level="32767"/>
    <cacheField name="[month_name_arabic].[month_arabic_name].[month_arabic_name]" caption="month_arabic_name" numFmtId="0" hierarchy="4" level="1">
      <sharedItems containsSemiMixedTypes="0" containsNonDate="0" containsString="0"/>
    </cacheField>
  </cacheFields>
  <cacheHierarchies count="27">
    <cacheHierarchy uniqueName="[date].[التاريخ]" caption="التاريخ" attribute="1" time="1" defaultMemberUniqueName="[date].[التاريخ].[All]" allUniqueName="[date].[التاريخ].[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التاريخ (Month)]" caption="التاريخ (Month)" attribute="1" defaultMemberUniqueName="[date].[التاريخ (Month)].[All]" allUniqueName="[date].[التاريخ (Month)].[All]" dimensionUniqueName="[date]" displayFolder="" count="0" memberValueDatatype="130" unbalanced="0"/>
    <cacheHierarchy uniqueName="[month_name_arabic].[month_no]" caption="month_no" attribute="1" defaultMemberUniqueName="[month_name_arabic].[month_no].[All]" allUniqueName="[month_name_arabic].[month_no].[All]" dimensionUniqueName="[month_name_arabic]" displayFolder="" count="0" memberValueDatatype="20" unbalanced="0"/>
    <cacheHierarchy uniqueName="[month_name_arabic].[month_arabic_name]" caption="month_arabic_name" attribute="1" defaultMemberUniqueName="[month_name_arabic].[month_arabic_name].[All]" allUniqueName="[month_name_arabic].[month_arabic_name].[All]" dimensionUniqueName="[month_name_arabic]" displayFolder="" count="2" memberValueDatatype="130" unbalanced="0">
      <fieldsUsage count="2">
        <fieldUsage x="-1"/>
        <fieldUsage x="2"/>
      </fieldsUsage>
    </cacheHierarchy>
    <cacheHierarchy uniqueName="[product_category].[المنتج]" caption="المنتج" attribute="1" defaultMemberUniqueName="[product_category].[المنتج].[All]" allUniqueName="[product_category].[المنتج].[All]" dimensionUniqueName="[product_category]" displayFolder="" count="2" memberValueDatatype="130" unbalanced="0">
      <fieldsUsage count="2">
        <fieldUsage x="-1"/>
        <fieldUsage x="0"/>
      </fieldsUsage>
    </cacheHierarchy>
    <cacheHierarchy uniqueName="[product_category].[الفئة]" caption="الفئة" attribute="1" defaultMemberUniqueName="[product_category].[الفئة].[All]" allUniqueName="[product_category].[الفئة].[All]" dimensionUniqueName="[product_category]" displayFolder="" count="2" memberValueDatatype="130" unbalanced="0"/>
    <cacheHierarchy uniqueName="[Supermarket_Data].[رقم الفاتورة]" caption="رقم الفاتورة" attribute="1" defaultMemberUniqueName="[Supermarket_Data].[رقم الفاتورة].[All]" allUniqueName="[Supermarket_Data].[رقم الفاتورة].[All]" dimensionUniqueName="[Supermarket_Data]" displayFolder="" count="0" memberValueDatatype="20" unbalanced="0"/>
    <cacheHierarchy uniqueName="[Supermarket_Data].[التاريخ]" caption="التاريخ" attribute="1" time="1" defaultMemberUniqueName="[Supermarket_Data].[التاريخ].[All]" allUniqueName="[Supermarket_Data].[التاريخ].[All]" dimensionUniqueName="[Supermarket_Data]" displayFolder="" count="0" memberValueDatatype="7" unbalanced="0"/>
    <cacheHierarchy uniqueName="[Supermarket_Data].[المنتج]" caption="المنتج" attribute="1" defaultMemberUniqueName="[Supermarket_Data].[المنتج].[All]" allUniqueName="[Supermarket_Data].[المنتج].[All]" dimensionUniqueName="[Supermarket_Data]" displayFolder="" count="0" memberValueDatatype="130" unbalanced="0"/>
    <cacheHierarchy uniqueName="[Supermarket_Data].[السعر_للواحدة]" caption="السعر_للواحدة" attribute="1" defaultMemberUniqueName="[Supermarket_Data].[السعر_للواحدة].[All]" allUniqueName="[Supermarket_Data].[السعر_للواحدة].[All]" dimensionUniqueName="[Supermarket_Data]" displayFolder="" count="0" memberValueDatatype="5" unbalanced="0"/>
    <cacheHierarchy uniqueName="[Supermarket_Data].[الكمية_المباعة]" caption="الكمية_المباعة" attribute="1" defaultMemberUniqueName="[Supermarket_Data].[الكمية_المباعة].[All]" allUniqueName="[Supermarket_Data].[الكمية_المباعة].[All]" dimensionUniqueName="[Supermarket_Data]" displayFolder="" count="0" memberValueDatatype="20" unbalanced="0"/>
    <cacheHierarchy uniqueName="[Supermarket_Data].[اجمالى  القيمة]" caption="اجمالى  القيمة" attribute="1" defaultMemberUniqueName="[Supermarket_Data].[اجمالى  القيمة].[All]" allUniqueName="[Supermarket_Data].[اجمالى  القيمة].[All]" dimensionUniqueName="[Supermarket_Data]" displayFolder="" count="0" memberValueDatatype="5" unbalanced="0"/>
    <cacheHierarchy uniqueName="[date].[التاريخ (Month Index)]" caption="التاريخ (Month Index)" attribute="1" defaultMemberUniqueName="[date].[التاريخ (Month Index)].[All]" allUniqueName="[date].[التاريخ (Month Index)].[All]" dimensionUniqueName="[date]" displayFolder="" count="0" memberValueDatatype="20" unbalanced="0" hidden="1"/>
    <cacheHierarchy uniqueName="[Measures].[__XL_Count Supermarket_Data]" caption="__XL_Count Supermarket_Data" measure="1" displayFolder="" measureGroup="Supermarket_Data" count="0" hidden="1"/>
    <cacheHierarchy uniqueName="[Measures].[__XL_Count date]" caption="__XL_Count date" measure="1" displayFolder="" measureGroup="date" count="0" hidden="1"/>
    <cacheHierarchy uniqueName="[Measures].[__XL_Count product_category]" caption="__XL_Count product_category" measure="1" displayFolder="" measureGroup="product_category" count="0" hidden="1"/>
    <cacheHierarchy uniqueName="[Measures].[__XL_Count month_name_arabic]" caption="__XL_Count month_name_arabic" measure="1" displayFolder="" measureGroup="month_name_arabic" count="0" hidden="1"/>
    <cacheHierarchy uniqueName="[Measures].[__No measures defined]" caption="__No measures defined" measure="1" displayFolder="" count="0" hidden="1"/>
    <cacheHierarchy uniqueName="[Measures].[Sum of اجمالى  القيمة]" caption="Sum of اجمالى  القيمة" measure="1" displayFolder="" measureGroup="Supermarket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الكمية_المباعة]" caption="Sum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Average of اجمالى  القيمة]" caption="Average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Average of الكمية_المباعة]" caption="Average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Sum of السعر_للواحدة]" caption="Sum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Average of السعر_للواحدة]" caption="Average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Count of المنتج]" caption="Count of المنتج" measure="1" displayFolder="" measureGroup="Supermarket_Data" count="0" hidden="1">
      <extLst>
        <ext xmlns:x15="http://schemas.microsoft.com/office/spreadsheetml/2010/11/main" uri="{B97F6D7D-B522-45F9-BDA1-12C45D357490}">
          <x15:cacheHierarchy aggregatedColumn="9"/>
        </ext>
      </extLst>
    </cacheHierarchy>
    <cacheHierarchy uniqueName="[Measures].[Distinct Count of المنتج]" caption="Distinct Count of المنتج" measure="1" displayFolder="" measureGroup="Supermarket_Data" count="0" hidden="1">
      <extLst>
        <ext xmlns:x15="http://schemas.microsoft.com/office/spreadsheetml/2010/11/main" uri="{B97F6D7D-B522-45F9-BDA1-12C45D357490}">
          <x15:cacheHierarchy aggregatedColumn="9"/>
        </ext>
      </extLst>
    </cacheHierarchy>
  </cacheHierarchies>
  <kpis count="0"/>
  <dimensions count="5">
    <dimension name="date" uniqueName="[date]" caption="date"/>
    <dimension measure="1" name="Measures" uniqueName="[Measures]" caption="Measures"/>
    <dimension name="month_name_arabic" uniqueName="[month_name_arabic]" caption="month_name_arabic"/>
    <dimension name="product_category" uniqueName="[product_category]" caption="product_category"/>
    <dimension name="Supermarket_Data" uniqueName="[Supermarket_Data]" caption="Supermarket_Data"/>
  </dimensions>
  <measureGroups count="4">
    <measureGroup name="date" caption="date"/>
    <measureGroup name="month_name_arabic" caption="month_name_arabic"/>
    <measureGroup name="product_category" caption="product_category"/>
    <measureGroup name="Supermarket_Data" caption="Supermarket_Data"/>
  </measureGroups>
  <maps count="8">
    <map measureGroup="0" dimension="0"/>
    <map measureGroup="0" dimension="2"/>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2.06577627315" backgroundQuery="1" createdVersion="7" refreshedVersion="7" minRefreshableVersion="3" recordCount="0" supportSubquery="1" supportAdvancedDrill="1" xr:uid="{0FBBA934-E102-4B12-8F57-FAE584DECE53}">
  <cacheSource type="external" connectionId="9"/>
  <cacheFields count="2">
    <cacheField name="[Measures].[Sum of اجمالى  القيمة]" caption="Sum of اجمالى  القيمة" numFmtId="0" hierarchy="19" level="32767"/>
    <cacheField name="[month_name_arabic].[month_arabic_name].[month_arabic_name]" caption="month_arabic_name" numFmtId="0" hierarchy="4" level="1">
      <sharedItems containsSemiMixedTypes="0" containsNonDate="0" containsString="0"/>
    </cacheField>
  </cacheFields>
  <cacheHierarchies count="27">
    <cacheHierarchy uniqueName="[date].[التاريخ]" caption="التاريخ" attribute="1" time="1" defaultMemberUniqueName="[date].[التاريخ].[All]" allUniqueName="[date].[التاريخ].[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التاريخ (Month)]" caption="التاريخ (Month)" attribute="1" defaultMemberUniqueName="[date].[التاريخ (Month)].[All]" allUniqueName="[date].[التاريخ (Month)].[All]" dimensionUniqueName="[date]" displayFolder="" count="0" memberValueDatatype="130" unbalanced="0"/>
    <cacheHierarchy uniqueName="[month_name_arabic].[month_no]" caption="month_no" attribute="1" defaultMemberUniqueName="[month_name_arabic].[month_no].[All]" allUniqueName="[month_name_arabic].[month_no].[All]" dimensionUniqueName="[month_name_arabic]" displayFolder="" count="0" memberValueDatatype="20" unbalanced="0"/>
    <cacheHierarchy uniqueName="[month_name_arabic].[month_arabic_name]" caption="month_arabic_name" attribute="1" defaultMemberUniqueName="[month_name_arabic].[month_arabic_name].[All]" allUniqueName="[month_name_arabic].[month_arabic_name].[All]" dimensionUniqueName="[month_name_arabic]" displayFolder="" count="2" memberValueDatatype="130" unbalanced="0">
      <fieldsUsage count="2">
        <fieldUsage x="-1"/>
        <fieldUsage x="1"/>
      </fieldsUsage>
    </cacheHierarchy>
    <cacheHierarchy uniqueName="[product_category].[المنتج]" caption="المنتج" attribute="1" defaultMemberUniqueName="[product_category].[المنتج].[All]" allUniqueName="[product_category].[المنتج].[All]" dimensionUniqueName="[product_category]" displayFolder="" count="0" memberValueDatatype="130" unbalanced="0"/>
    <cacheHierarchy uniqueName="[product_category].[الفئة]" caption="الفئة" attribute="1" defaultMemberUniqueName="[product_category].[الفئة].[All]" allUniqueName="[product_category].[الفئة].[All]" dimensionUniqueName="[product_category]" displayFolder="" count="2" memberValueDatatype="130" unbalanced="0"/>
    <cacheHierarchy uniqueName="[Supermarket_Data].[رقم الفاتورة]" caption="رقم الفاتورة" attribute="1" defaultMemberUniqueName="[Supermarket_Data].[رقم الفاتورة].[All]" allUniqueName="[Supermarket_Data].[رقم الفاتورة].[All]" dimensionUniqueName="[Supermarket_Data]" displayFolder="" count="0" memberValueDatatype="20" unbalanced="0"/>
    <cacheHierarchy uniqueName="[Supermarket_Data].[التاريخ]" caption="التاريخ" attribute="1" time="1" defaultMemberUniqueName="[Supermarket_Data].[التاريخ].[All]" allUniqueName="[Supermarket_Data].[التاريخ].[All]" dimensionUniqueName="[Supermarket_Data]" displayFolder="" count="0" memberValueDatatype="7" unbalanced="0"/>
    <cacheHierarchy uniqueName="[Supermarket_Data].[المنتج]" caption="المنتج" attribute="1" defaultMemberUniqueName="[Supermarket_Data].[المنتج].[All]" allUniqueName="[Supermarket_Data].[المنتج].[All]" dimensionUniqueName="[Supermarket_Data]" displayFolder="" count="0" memberValueDatatype="130" unbalanced="0"/>
    <cacheHierarchy uniqueName="[Supermarket_Data].[السعر_للواحدة]" caption="السعر_للواحدة" attribute="1" defaultMemberUniqueName="[Supermarket_Data].[السعر_للواحدة].[All]" allUniqueName="[Supermarket_Data].[السعر_للواحدة].[All]" dimensionUniqueName="[Supermarket_Data]" displayFolder="" count="0" memberValueDatatype="5" unbalanced="0"/>
    <cacheHierarchy uniqueName="[Supermarket_Data].[الكمية_المباعة]" caption="الكمية_المباعة" attribute="1" defaultMemberUniqueName="[Supermarket_Data].[الكمية_المباعة].[All]" allUniqueName="[Supermarket_Data].[الكمية_المباعة].[All]" dimensionUniqueName="[Supermarket_Data]" displayFolder="" count="0" memberValueDatatype="20" unbalanced="0"/>
    <cacheHierarchy uniqueName="[Supermarket_Data].[اجمالى  القيمة]" caption="اجمالى  القيمة" attribute="1" defaultMemberUniqueName="[Supermarket_Data].[اجمالى  القيمة].[All]" allUniqueName="[Supermarket_Data].[اجمالى  القيمة].[All]" dimensionUniqueName="[Supermarket_Data]" displayFolder="" count="0" memberValueDatatype="5" unbalanced="0"/>
    <cacheHierarchy uniqueName="[date].[التاريخ (Month Index)]" caption="التاريخ (Month Index)" attribute="1" defaultMemberUniqueName="[date].[التاريخ (Month Index)].[All]" allUniqueName="[date].[التاريخ (Month Index)].[All]" dimensionUniqueName="[date]" displayFolder="" count="0" memberValueDatatype="20" unbalanced="0" hidden="1"/>
    <cacheHierarchy uniqueName="[Measures].[__XL_Count Supermarket_Data]" caption="__XL_Count Supermarket_Data" measure="1" displayFolder="" measureGroup="Supermarket_Data" count="0" hidden="1"/>
    <cacheHierarchy uniqueName="[Measures].[__XL_Count date]" caption="__XL_Count date" measure="1" displayFolder="" measureGroup="date" count="0" hidden="1"/>
    <cacheHierarchy uniqueName="[Measures].[__XL_Count product_category]" caption="__XL_Count product_category" measure="1" displayFolder="" measureGroup="product_category" count="0" hidden="1"/>
    <cacheHierarchy uniqueName="[Measures].[__XL_Count month_name_arabic]" caption="__XL_Count month_name_arabic" measure="1" displayFolder="" measureGroup="month_name_arabic" count="0" hidden="1"/>
    <cacheHierarchy uniqueName="[Measures].[__No measures defined]" caption="__No measures defined" measure="1" displayFolder="" count="0" hidden="1"/>
    <cacheHierarchy uniqueName="[Measures].[Sum of اجمالى  القيمة]" caption="Sum of اجمالى  القيمة" measure="1" displayFolder="" measureGroup="Supermarket_Data"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الكمية_المباعة]" caption="Sum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Average of اجمالى  القيمة]" caption="Average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Average of الكمية_المباعة]" caption="Average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Sum of السعر_للواحدة]" caption="Sum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Average of السعر_للواحدة]" caption="Average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Count of المنتج]" caption="Count of المنتج" measure="1" displayFolder="" measureGroup="Supermarket_Data" count="0" hidden="1">
      <extLst>
        <ext xmlns:x15="http://schemas.microsoft.com/office/spreadsheetml/2010/11/main" uri="{B97F6D7D-B522-45F9-BDA1-12C45D357490}">
          <x15:cacheHierarchy aggregatedColumn="9"/>
        </ext>
      </extLst>
    </cacheHierarchy>
    <cacheHierarchy uniqueName="[Measures].[Distinct Count of المنتج]" caption="Distinct Count of المنتج" measure="1" displayFolder="" measureGroup="Supermarket_Data" count="0" hidden="1">
      <extLst>
        <ext xmlns:x15="http://schemas.microsoft.com/office/spreadsheetml/2010/11/main" uri="{B97F6D7D-B522-45F9-BDA1-12C45D357490}">
          <x15:cacheHierarchy aggregatedColumn="9"/>
        </ext>
      </extLst>
    </cacheHierarchy>
  </cacheHierarchies>
  <kpis count="0"/>
  <dimensions count="5">
    <dimension name="date" uniqueName="[date]" caption="date"/>
    <dimension measure="1" name="Measures" uniqueName="[Measures]" caption="Measures"/>
    <dimension name="month_name_arabic" uniqueName="[month_name_arabic]" caption="month_name_arabic"/>
    <dimension name="product_category" uniqueName="[product_category]" caption="product_category"/>
    <dimension name="Supermarket_Data" uniqueName="[Supermarket_Data]" caption="Supermarket_Data"/>
  </dimensions>
  <measureGroups count="4">
    <measureGroup name="date" caption="date"/>
    <measureGroup name="month_name_arabic" caption="month_name_arabic"/>
    <measureGroup name="product_category" caption="product_category"/>
    <measureGroup name="Supermarket_Data" caption="Supermarket_Data"/>
  </measureGroups>
  <maps count="8">
    <map measureGroup="0" dimension="0"/>
    <map measureGroup="0" dimension="2"/>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2.065776388888" backgroundQuery="1" createdVersion="7" refreshedVersion="7" minRefreshableVersion="3" recordCount="0" supportSubquery="1" supportAdvancedDrill="1" xr:uid="{408E5F12-5DEE-4164-8CF3-77DA90E78553}">
  <cacheSource type="external" connectionId="9"/>
  <cacheFields count="2">
    <cacheField name="[Measures].[Sum of الكمية_المباعة]" caption="Sum of الكمية_المباعة" numFmtId="0" hierarchy="20" level="32767"/>
    <cacheField name="[month_name_arabic].[month_arabic_name].[month_arabic_name]" caption="month_arabic_name" numFmtId="0" hierarchy="4" level="1">
      <sharedItems containsSemiMixedTypes="0" containsNonDate="0" containsString="0"/>
    </cacheField>
  </cacheFields>
  <cacheHierarchies count="27">
    <cacheHierarchy uniqueName="[date].[التاريخ]" caption="التاريخ" attribute="1" time="1" defaultMemberUniqueName="[date].[التاريخ].[All]" allUniqueName="[date].[التاريخ].[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التاريخ (Month)]" caption="التاريخ (Month)" attribute="1" defaultMemberUniqueName="[date].[التاريخ (Month)].[All]" allUniqueName="[date].[التاريخ (Month)].[All]" dimensionUniqueName="[date]" displayFolder="" count="0" memberValueDatatype="130" unbalanced="0"/>
    <cacheHierarchy uniqueName="[month_name_arabic].[month_no]" caption="month_no" attribute="1" defaultMemberUniqueName="[month_name_arabic].[month_no].[All]" allUniqueName="[month_name_arabic].[month_no].[All]" dimensionUniqueName="[month_name_arabic]" displayFolder="" count="0" memberValueDatatype="20" unbalanced="0"/>
    <cacheHierarchy uniqueName="[month_name_arabic].[month_arabic_name]" caption="month_arabic_name" attribute="1" defaultMemberUniqueName="[month_name_arabic].[month_arabic_name].[All]" allUniqueName="[month_name_arabic].[month_arabic_name].[All]" dimensionUniqueName="[month_name_arabic]" displayFolder="" count="2" memberValueDatatype="130" unbalanced="0">
      <fieldsUsage count="2">
        <fieldUsage x="-1"/>
        <fieldUsage x="1"/>
      </fieldsUsage>
    </cacheHierarchy>
    <cacheHierarchy uniqueName="[product_category].[المنتج]" caption="المنتج" attribute="1" defaultMemberUniqueName="[product_category].[المنتج].[All]" allUniqueName="[product_category].[المنتج].[All]" dimensionUniqueName="[product_category]" displayFolder="" count="0" memberValueDatatype="130" unbalanced="0"/>
    <cacheHierarchy uniqueName="[product_category].[الفئة]" caption="الفئة" attribute="1" defaultMemberUniqueName="[product_category].[الفئة].[All]" allUniqueName="[product_category].[الفئة].[All]" dimensionUniqueName="[product_category]" displayFolder="" count="2" memberValueDatatype="130" unbalanced="0"/>
    <cacheHierarchy uniqueName="[Supermarket_Data].[رقم الفاتورة]" caption="رقم الفاتورة" attribute="1" defaultMemberUniqueName="[Supermarket_Data].[رقم الفاتورة].[All]" allUniqueName="[Supermarket_Data].[رقم الفاتورة].[All]" dimensionUniqueName="[Supermarket_Data]" displayFolder="" count="0" memberValueDatatype="20" unbalanced="0"/>
    <cacheHierarchy uniqueName="[Supermarket_Data].[التاريخ]" caption="التاريخ" attribute="1" time="1" defaultMemberUniqueName="[Supermarket_Data].[التاريخ].[All]" allUniqueName="[Supermarket_Data].[التاريخ].[All]" dimensionUniqueName="[Supermarket_Data]" displayFolder="" count="0" memberValueDatatype="7" unbalanced="0"/>
    <cacheHierarchy uniqueName="[Supermarket_Data].[المنتج]" caption="المنتج" attribute="1" defaultMemberUniqueName="[Supermarket_Data].[المنتج].[All]" allUniqueName="[Supermarket_Data].[المنتج].[All]" dimensionUniqueName="[Supermarket_Data]" displayFolder="" count="0" memberValueDatatype="130" unbalanced="0"/>
    <cacheHierarchy uniqueName="[Supermarket_Data].[السعر_للواحدة]" caption="السعر_للواحدة" attribute="1" defaultMemberUniqueName="[Supermarket_Data].[السعر_للواحدة].[All]" allUniqueName="[Supermarket_Data].[السعر_للواحدة].[All]" dimensionUniqueName="[Supermarket_Data]" displayFolder="" count="0" memberValueDatatype="5" unbalanced="0"/>
    <cacheHierarchy uniqueName="[Supermarket_Data].[الكمية_المباعة]" caption="الكمية_المباعة" attribute="1" defaultMemberUniqueName="[Supermarket_Data].[الكمية_المباعة].[All]" allUniqueName="[Supermarket_Data].[الكمية_المباعة].[All]" dimensionUniqueName="[Supermarket_Data]" displayFolder="" count="0" memberValueDatatype="20" unbalanced="0"/>
    <cacheHierarchy uniqueName="[Supermarket_Data].[اجمالى  القيمة]" caption="اجمالى  القيمة" attribute="1" defaultMemberUniqueName="[Supermarket_Data].[اجمالى  القيمة].[All]" allUniqueName="[Supermarket_Data].[اجمالى  القيمة].[All]" dimensionUniqueName="[Supermarket_Data]" displayFolder="" count="0" memberValueDatatype="5" unbalanced="0"/>
    <cacheHierarchy uniqueName="[date].[التاريخ (Month Index)]" caption="التاريخ (Month Index)" attribute="1" defaultMemberUniqueName="[date].[التاريخ (Month Index)].[All]" allUniqueName="[date].[التاريخ (Month Index)].[All]" dimensionUniqueName="[date]" displayFolder="" count="0" memberValueDatatype="20" unbalanced="0" hidden="1"/>
    <cacheHierarchy uniqueName="[Measures].[__XL_Count Supermarket_Data]" caption="__XL_Count Supermarket_Data" measure="1" displayFolder="" measureGroup="Supermarket_Data" count="0" hidden="1"/>
    <cacheHierarchy uniqueName="[Measures].[__XL_Count date]" caption="__XL_Count date" measure="1" displayFolder="" measureGroup="date" count="0" hidden="1"/>
    <cacheHierarchy uniqueName="[Measures].[__XL_Count product_category]" caption="__XL_Count product_category" measure="1" displayFolder="" measureGroup="product_category" count="0" hidden="1"/>
    <cacheHierarchy uniqueName="[Measures].[__XL_Count month_name_arabic]" caption="__XL_Count month_name_arabic" measure="1" displayFolder="" measureGroup="month_name_arabic" count="0" hidden="1"/>
    <cacheHierarchy uniqueName="[Measures].[__No measures defined]" caption="__No measures defined" measure="1" displayFolder="" count="0" hidden="1"/>
    <cacheHierarchy uniqueName="[Measures].[Sum of اجمالى  القيمة]" caption="Sum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Sum of الكمية_المباعة]" caption="Sum of الكمية_المباعة" measure="1" displayFolder="" measureGroup="Supermarket_Data"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اجمالى  القيمة]" caption="Average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Average of الكمية_المباعة]" caption="Average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Sum of السعر_للواحدة]" caption="Sum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Average of السعر_للواحدة]" caption="Average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Count of المنتج]" caption="Count of المنتج" measure="1" displayFolder="" measureGroup="Supermarket_Data" count="0" hidden="1">
      <extLst>
        <ext xmlns:x15="http://schemas.microsoft.com/office/spreadsheetml/2010/11/main" uri="{B97F6D7D-B522-45F9-BDA1-12C45D357490}">
          <x15:cacheHierarchy aggregatedColumn="9"/>
        </ext>
      </extLst>
    </cacheHierarchy>
    <cacheHierarchy uniqueName="[Measures].[Distinct Count of المنتج]" caption="Distinct Count of المنتج" measure="1" displayFolder="" measureGroup="Supermarket_Data" count="0" hidden="1">
      <extLst>
        <ext xmlns:x15="http://schemas.microsoft.com/office/spreadsheetml/2010/11/main" uri="{B97F6D7D-B522-45F9-BDA1-12C45D357490}">
          <x15:cacheHierarchy aggregatedColumn="9"/>
        </ext>
      </extLst>
    </cacheHierarchy>
  </cacheHierarchies>
  <kpis count="0"/>
  <dimensions count="5">
    <dimension name="date" uniqueName="[date]" caption="date"/>
    <dimension measure="1" name="Measures" uniqueName="[Measures]" caption="Measures"/>
    <dimension name="month_name_arabic" uniqueName="[month_name_arabic]" caption="month_name_arabic"/>
    <dimension name="product_category" uniqueName="[product_category]" caption="product_category"/>
    <dimension name="Supermarket_Data" uniqueName="[Supermarket_Data]" caption="Supermarket_Data"/>
  </dimensions>
  <measureGroups count="4">
    <measureGroup name="date" caption="date"/>
    <measureGroup name="month_name_arabic" caption="month_name_arabic"/>
    <measureGroup name="product_category" caption="product_category"/>
    <measureGroup name="Supermarket_Data" caption="Supermarket_Data"/>
  </measureGroups>
  <maps count="8">
    <map measureGroup="0" dimension="0"/>
    <map measureGroup="0" dimension="2"/>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2.065776504627" backgroundQuery="1" createdVersion="7" refreshedVersion="7" minRefreshableVersion="3" recordCount="0" supportSubquery="1" supportAdvancedDrill="1" xr:uid="{464B3ED0-6CB9-42AE-B9AD-B84CC75F7C39}">
  <cacheSource type="external" connectionId="9"/>
  <cacheFields count="2">
    <cacheField name="[Measures].[Average of اجمالى  القيمة]" caption="Average of اجمالى  القيمة" numFmtId="0" hierarchy="21" level="32767"/>
    <cacheField name="[month_name_arabic].[month_arabic_name].[month_arabic_name]" caption="month_arabic_name" numFmtId="0" hierarchy="4" level="1">
      <sharedItems containsSemiMixedTypes="0" containsNonDate="0" containsString="0"/>
    </cacheField>
  </cacheFields>
  <cacheHierarchies count="27">
    <cacheHierarchy uniqueName="[date].[التاريخ]" caption="التاريخ" attribute="1" time="1" defaultMemberUniqueName="[date].[التاريخ].[All]" allUniqueName="[date].[التاريخ].[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التاريخ (Month)]" caption="التاريخ (Month)" attribute="1" defaultMemberUniqueName="[date].[التاريخ (Month)].[All]" allUniqueName="[date].[التاريخ (Month)].[All]" dimensionUniqueName="[date]" displayFolder="" count="0" memberValueDatatype="130" unbalanced="0"/>
    <cacheHierarchy uniqueName="[month_name_arabic].[month_no]" caption="month_no" attribute="1" defaultMemberUniqueName="[month_name_arabic].[month_no].[All]" allUniqueName="[month_name_arabic].[month_no].[All]" dimensionUniqueName="[month_name_arabic]" displayFolder="" count="0" memberValueDatatype="20" unbalanced="0"/>
    <cacheHierarchy uniqueName="[month_name_arabic].[month_arabic_name]" caption="month_arabic_name" attribute="1" defaultMemberUniqueName="[month_name_arabic].[month_arabic_name].[All]" allUniqueName="[month_name_arabic].[month_arabic_name].[All]" dimensionUniqueName="[month_name_arabic]" displayFolder="" count="2" memberValueDatatype="130" unbalanced="0">
      <fieldsUsage count="2">
        <fieldUsage x="-1"/>
        <fieldUsage x="1"/>
      </fieldsUsage>
    </cacheHierarchy>
    <cacheHierarchy uniqueName="[product_category].[المنتج]" caption="المنتج" attribute="1" defaultMemberUniqueName="[product_category].[المنتج].[All]" allUniqueName="[product_category].[المنتج].[All]" dimensionUniqueName="[product_category]" displayFolder="" count="0" memberValueDatatype="130" unbalanced="0"/>
    <cacheHierarchy uniqueName="[product_category].[الفئة]" caption="الفئة" attribute="1" defaultMemberUniqueName="[product_category].[الفئة].[All]" allUniqueName="[product_category].[الفئة].[All]" dimensionUniqueName="[product_category]" displayFolder="" count="2" memberValueDatatype="130" unbalanced="0"/>
    <cacheHierarchy uniqueName="[Supermarket_Data].[رقم الفاتورة]" caption="رقم الفاتورة" attribute="1" defaultMemberUniqueName="[Supermarket_Data].[رقم الفاتورة].[All]" allUniqueName="[Supermarket_Data].[رقم الفاتورة].[All]" dimensionUniqueName="[Supermarket_Data]" displayFolder="" count="0" memberValueDatatype="20" unbalanced="0"/>
    <cacheHierarchy uniqueName="[Supermarket_Data].[التاريخ]" caption="التاريخ" attribute="1" time="1" defaultMemberUniqueName="[Supermarket_Data].[التاريخ].[All]" allUniqueName="[Supermarket_Data].[التاريخ].[All]" dimensionUniqueName="[Supermarket_Data]" displayFolder="" count="0" memberValueDatatype="7" unbalanced="0"/>
    <cacheHierarchy uniqueName="[Supermarket_Data].[المنتج]" caption="المنتج" attribute="1" defaultMemberUniqueName="[Supermarket_Data].[المنتج].[All]" allUniqueName="[Supermarket_Data].[المنتج].[All]" dimensionUniqueName="[Supermarket_Data]" displayFolder="" count="0" memberValueDatatype="130" unbalanced="0"/>
    <cacheHierarchy uniqueName="[Supermarket_Data].[السعر_للواحدة]" caption="السعر_للواحدة" attribute="1" defaultMemberUniqueName="[Supermarket_Data].[السعر_للواحدة].[All]" allUniqueName="[Supermarket_Data].[السعر_للواحدة].[All]" dimensionUniqueName="[Supermarket_Data]" displayFolder="" count="0" memberValueDatatype="5" unbalanced="0"/>
    <cacheHierarchy uniqueName="[Supermarket_Data].[الكمية_المباعة]" caption="الكمية_المباعة" attribute="1" defaultMemberUniqueName="[Supermarket_Data].[الكمية_المباعة].[All]" allUniqueName="[Supermarket_Data].[الكمية_المباعة].[All]" dimensionUniqueName="[Supermarket_Data]" displayFolder="" count="0" memberValueDatatype="20" unbalanced="0"/>
    <cacheHierarchy uniqueName="[Supermarket_Data].[اجمالى  القيمة]" caption="اجمالى  القيمة" attribute="1" defaultMemberUniqueName="[Supermarket_Data].[اجمالى  القيمة].[All]" allUniqueName="[Supermarket_Data].[اجمالى  القيمة].[All]" dimensionUniqueName="[Supermarket_Data]" displayFolder="" count="0" memberValueDatatype="5" unbalanced="0"/>
    <cacheHierarchy uniqueName="[date].[التاريخ (Month Index)]" caption="التاريخ (Month Index)" attribute="1" defaultMemberUniqueName="[date].[التاريخ (Month Index)].[All]" allUniqueName="[date].[التاريخ (Month Index)].[All]" dimensionUniqueName="[date]" displayFolder="" count="0" memberValueDatatype="20" unbalanced="0" hidden="1"/>
    <cacheHierarchy uniqueName="[Measures].[__XL_Count Supermarket_Data]" caption="__XL_Count Supermarket_Data" measure="1" displayFolder="" measureGroup="Supermarket_Data" count="0" hidden="1"/>
    <cacheHierarchy uniqueName="[Measures].[__XL_Count date]" caption="__XL_Count date" measure="1" displayFolder="" measureGroup="date" count="0" hidden="1"/>
    <cacheHierarchy uniqueName="[Measures].[__XL_Count product_category]" caption="__XL_Count product_category" measure="1" displayFolder="" measureGroup="product_category" count="0" hidden="1"/>
    <cacheHierarchy uniqueName="[Measures].[__XL_Count month_name_arabic]" caption="__XL_Count month_name_arabic" measure="1" displayFolder="" measureGroup="month_name_arabic" count="0" hidden="1"/>
    <cacheHierarchy uniqueName="[Measures].[__No measures defined]" caption="__No measures defined" measure="1" displayFolder="" count="0" hidden="1"/>
    <cacheHierarchy uniqueName="[Measures].[Sum of اجمالى  القيمة]" caption="Sum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Sum of الكمية_المباعة]" caption="Sum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Average of اجمالى  القيمة]" caption="Average of اجمالى  القيمة" measure="1" displayFolder="" measureGroup="Supermarket_Data" count="0" oneField="1" hidden="1">
      <fieldsUsage count="1">
        <fieldUsage x="0"/>
      </fieldsUsage>
      <extLst>
        <ext xmlns:x15="http://schemas.microsoft.com/office/spreadsheetml/2010/11/main" uri="{B97F6D7D-B522-45F9-BDA1-12C45D357490}">
          <x15:cacheHierarchy aggregatedColumn="12"/>
        </ext>
      </extLst>
    </cacheHierarchy>
    <cacheHierarchy uniqueName="[Measures].[Average of الكمية_المباعة]" caption="Average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Sum of السعر_للواحدة]" caption="Sum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Average of السعر_للواحدة]" caption="Average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Count of المنتج]" caption="Count of المنتج" measure="1" displayFolder="" measureGroup="Supermarket_Data" count="0" hidden="1">
      <extLst>
        <ext xmlns:x15="http://schemas.microsoft.com/office/spreadsheetml/2010/11/main" uri="{B97F6D7D-B522-45F9-BDA1-12C45D357490}">
          <x15:cacheHierarchy aggregatedColumn="9"/>
        </ext>
      </extLst>
    </cacheHierarchy>
    <cacheHierarchy uniqueName="[Measures].[Distinct Count of المنتج]" caption="Distinct Count of المنتج" measure="1" displayFolder="" measureGroup="Supermarket_Data" count="0" hidden="1">
      <extLst>
        <ext xmlns:x15="http://schemas.microsoft.com/office/spreadsheetml/2010/11/main" uri="{B97F6D7D-B522-45F9-BDA1-12C45D357490}">
          <x15:cacheHierarchy aggregatedColumn="9"/>
        </ext>
      </extLst>
    </cacheHierarchy>
  </cacheHierarchies>
  <kpis count="0"/>
  <dimensions count="5">
    <dimension name="date" uniqueName="[date]" caption="date"/>
    <dimension measure="1" name="Measures" uniqueName="[Measures]" caption="Measures"/>
    <dimension name="month_name_arabic" uniqueName="[month_name_arabic]" caption="month_name_arabic"/>
    <dimension name="product_category" uniqueName="[product_category]" caption="product_category"/>
    <dimension name="Supermarket_Data" uniqueName="[Supermarket_Data]" caption="Supermarket_Data"/>
  </dimensions>
  <measureGroups count="4">
    <measureGroup name="date" caption="date"/>
    <measureGroup name="month_name_arabic" caption="month_name_arabic"/>
    <measureGroup name="product_category" caption="product_category"/>
    <measureGroup name="Supermarket_Data" caption="Supermarket_Data"/>
  </measureGroups>
  <maps count="8">
    <map measureGroup="0" dimension="0"/>
    <map measureGroup="0" dimension="2"/>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2.065776620373" backgroundQuery="1" createdVersion="7" refreshedVersion="7" minRefreshableVersion="3" recordCount="0" supportSubquery="1" supportAdvancedDrill="1" xr:uid="{7BA7106A-9DE2-4E7B-A693-8A3558464000}">
  <cacheSource type="external" connectionId="9"/>
  <cacheFields count="2">
    <cacheField name="[Measures].[Average of الكمية_المباعة]" caption="Average of الكمية_المباعة" numFmtId="0" hierarchy="22" level="32767"/>
    <cacheField name="[month_name_arabic].[month_arabic_name].[month_arabic_name]" caption="month_arabic_name" numFmtId="0" hierarchy="4" level="1">
      <sharedItems containsSemiMixedTypes="0" containsNonDate="0" containsString="0"/>
    </cacheField>
  </cacheFields>
  <cacheHierarchies count="27">
    <cacheHierarchy uniqueName="[date].[التاريخ]" caption="التاريخ" attribute="1" time="1" defaultMemberUniqueName="[date].[التاريخ].[All]" allUniqueName="[date].[التاريخ].[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التاريخ (Month)]" caption="التاريخ (Month)" attribute="1" defaultMemberUniqueName="[date].[التاريخ (Month)].[All]" allUniqueName="[date].[التاريخ (Month)].[All]" dimensionUniqueName="[date]" displayFolder="" count="0" memberValueDatatype="130" unbalanced="0"/>
    <cacheHierarchy uniqueName="[month_name_arabic].[month_no]" caption="month_no" attribute="1" defaultMemberUniqueName="[month_name_arabic].[month_no].[All]" allUniqueName="[month_name_arabic].[month_no].[All]" dimensionUniqueName="[month_name_arabic]" displayFolder="" count="0" memberValueDatatype="20" unbalanced="0"/>
    <cacheHierarchy uniqueName="[month_name_arabic].[month_arabic_name]" caption="month_arabic_name" attribute="1" defaultMemberUniqueName="[month_name_arabic].[month_arabic_name].[All]" allUniqueName="[month_name_arabic].[month_arabic_name].[All]" dimensionUniqueName="[month_name_arabic]" displayFolder="" count="2" memberValueDatatype="130" unbalanced="0">
      <fieldsUsage count="2">
        <fieldUsage x="-1"/>
        <fieldUsage x="1"/>
      </fieldsUsage>
    </cacheHierarchy>
    <cacheHierarchy uniqueName="[product_category].[المنتج]" caption="المنتج" attribute="1" defaultMemberUniqueName="[product_category].[المنتج].[All]" allUniqueName="[product_category].[المنتج].[All]" dimensionUniqueName="[product_category]" displayFolder="" count="0" memberValueDatatype="130" unbalanced="0"/>
    <cacheHierarchy uniqueName="[product_category].[الفئة]" caption="الفئة" attribute="1" defaultMemberUniqueName="[product_category].[الفئة].[All]" allUniqueName="[product_category].[الفئة].[All]" dimensionUniqueName="[product_category]" displayFolder="" count="2" memberValueDatatype="130" unbalanced="0"/>
    <cacheHierarchy uniqueName="[Supermarket_Data].[رقم الفاتورة]" caption="رقم الفاتورة" attribute="1" defaultMemberUniqueName="[Supermarket_Data].[رقم الفاتورة].[All]" allUniqueName="[Supermarket_Data].[رقم الفاتورة].[All]" dimensionUniqueName="[Supermarket_Data]" displayFolder="" count="0" memberValueDatatype="20" unbalanced="0"/>
    <cacheHierarchy uniqueName="[Supermarket_Data].[التاريخ]" caption="التاريخ" attribute="1" time="1" defaultMemberUniqueName="[Supermarket_Data].[التاريخ].[All]" allUniqueName="[Supermarket_Data].[التاريخ].[All]" dimensionUniqueName="[Supermarket_Data]" displayFolder="" count="0" memberValueDatatype="7" unbalanced="0"/>
    <cacheHierarchy uniqueName="[Supermarket_Data].[المنتج]" caption="المنتج" attribute="1" defaultMemberUniqueName="[Supermarket_Data].[المنتج].[All]" allUniqueName="[Supermarket_Data].[المنتج].[All]" dimensionUniqueName="[Supermarket_Data]" displayFolder="" count="0" memberValueDatatype="130" unbalanced="0"/>
    <cacheHierarchy uniqueName="[Supermarket_Data].[السعر_للواحدة]" caption="السعر_للواحدة" attribute="1" defaultMemberUniqueName="[Supermarket_Data].[السعر_للواحدة].[All]" allUniqueName="[Supermarket_Data].[السعر_للواحدة].[All]" dimensionUniqueName="[Supermarket_Data]" displayFolder="" count="0" memberValueDatatype="5" unbalanced="0"/>
    <cacheHierarchy uniqueName="[Supermarket_Data].[الكمية_المباعة]" caption="الكمية_المباعة" attribute="1" defaultMemberUniqueName="[Supermarket_Data].[الكمية_المباعة].[All]" allUniqueName="[Supermarket_Data].[الكمية_المباعة].[All]" dimensionUniqueName="[Supermarket_Data]" displayFolder="" count="0" memberValueDatatype="20" unbalanced="0"/>
    <cacheHierarchy uniqueName="[Supermarket_Data].[اجمالى  القيمة]" caption="اجمالى  القيمة" attribute="1" defaultMemberUniqueName="[Supermarket_Data].[اجمالى  القيمة].[All]" allUniqueName="[Supermarket_Data].[اجمالى  القيمة].[All]" dimensionUniqueName="[Supermarket_Data]" displayFolder="" count="0" memberValueDatatype="5" unbalanced="0"/>
    <cacheHierarchy uniqueName="[date].[التاريخ (Month Index)]" caption="التاريخ (Month Index)" attribute="1" defaultMemberUniqueName="[date].[التاريخ (Month Index)].[All]" allUniqueName="[date].[التاريخ (Month Index)].[All]" dimensionUniqueName="[date]" displayFolder="" count="0" memberValueDatatype="20" unbalanced="0" hidden="1"/>
    <cacheHierarchy uniqueName="[Measures].[__XL_Count Supermarket_Data]" caption="__XL_Count Supermarket_Data" measure="1" displayFolder="" measureGroup="Supermarket_Data" count="0" hidden="1"/>
    <cacheHierarchy uniqueName="[Measures].[__XL_Count date]" caption="__XL_Count date" measure="1" displayFolder="" measureGroup="date" count="0" hidden="1"/>
    <cacheHierarchy uniqueName="[Measures].[__XL_Count product_category]" caption="__XL_Count product_category" measure="1" displayFolder="" measureGroup="product_category" count="0" hidden="1"/>
    <cacheHierarchy uniqueName="[Measures].[__XL_Count month_name_arabic]" caption="__XL_Count month_name_arabic" measure="1" displayFolder="" measureGroup="month_name_arabic" count="0" hidden="1"/>
    <cacheHierarchy uniqueName="[Measures].[__No measures defined]" caption="__No measures defined" measure="1" displayFolder="" count="0" hidden="1"/>
    <cacheHierarchy uniqueName="[Measures].[Sum of اجمالى  القيمة]" caption="Sum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Sum of الكمية_المباعة]" caption="Sum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Average of اجمالى  القيمة]" caption="Average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Average of الكمية_المباعة]" caption="Average of الكمية_المباعة" measure="1" displayFolder="" measureGroup="Supermarket_D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السعر_للواحدة]" caption="Sum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Average of السعر_للواحدة]" caption="Average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Count of المنتج]" caption="Count of المنتج" measure="1" displayFolder="" measureGroup="Supermarket_Data" count="0" hidden="1">
      <extLst>
        <ext xmlns:x15="http://schemas.microsoft.com/office/spreadsheetml/2010/11/main" uri="{B97F6D7D-B522-45F9-BDA1-12C45D357490}">
          <x15:cacheHierarchy aggregatedColumn="9"/>
        </ext>
      </extLst>
    </cacheHierarchy>
    <cacheHierarchy uniqueName="[Measures].[Distinct Count of المنتج]" caption="Distinct Count of المنتج" measure="1" displayFolder="" measureGroup="Supermarket_Data" count="0" hidden="1">
      <extLst>
        <ext xmlns:x15="http://schemas.microsoft.com/office/spreadsheetml/2010/11/main" uri="{B97F6D7D-B522-45F9-BDA1-12C45D357490}">
          <x15:cacheHierarchy aggregatedColumn="9"/>
        </ext>
      </extLst>
    </cacheHierarchy>
  </cacheHierarchies>
  <kpis count="0"/>
  <dimensions count="5">
    <dimension name="date" uniqueName="[date]" caption="date"/>
    <dimension measure="1" name="Measures" uniqueName="[Measures]" caption="Measures"/>
    <dimension name="month_name_arabic" uniqueName="[month_name_arabic]" caption="month_name_arabic"/>
    <dimension name="product_category" uniqueName="[product_category]" caption="product_category"/>
    <dimension name="Supermarket_Data" uniqueName="[Supermarket_Data]" caption="Supermarket_Data"/>
  </dimensions>
  <measureGroups count="4">
    <measureGroup name="date" caption="date"/>
    <measureGroup name="month_name_arabic" caption="month_name_arabic"/>
    <measureGroup name="product_category" caption="product_category"/>
    <measureGroup name="Supermarket_Data" caption="Supermarket_Data"/>
  </measureGroups>
  <maps count="8">
    <map measureGroup="0" dimension="0"/>
    <map measureGroup="0" dimension="2"/>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2.065776967589" backgroundQuery="1" createdVersion="7" refreshedVersion="7" minRefreshableVersion="3" recordCount="0" supportSubquery="1" supportAdvancedDrill="1" xr:uid="{45EE3230-93EA-4B1C-A0BC-42117A586E44}">
  <cacheSource type="external" connectionId="9"/>
  <cacheFields count="3">
    <cacheField name="[Supermarket_Data].[المنتج].[المنتج]" caption="المنتج" numFmtId="0" hierarchy="9" level="1">
      <sharedItems count="8">
        <s v="أرز"/>
        <s v="جبنة نباتية"/>
        <s v="سكر"/>
        <s v="فول"/>
        <s v="قهوة"/>
        <s v="مسحوق غسيل"/>
        <s v="مكرونة"/>
        <s v="بسكويت" u="1"/>
      </sharedItems>
    </cacheField>
    <cacheField name="[Measures].[Sum of الكمية_المباعة]" caption="Sum of الكمية_المباعة" numFmtId="0" hierarchy="20" level="32767"/>
    <cacheField name="[month_name_arabic].[month_arabic_name].[month_arabic_name]" caption="month_arabic_name" numFmtId="0" hierarchy="4" level="1">
      <sharedItems containsSemiMixedTypes="0" containsNonDate="0" containsString="0"/>
    </cacheField>
  </cacheFields>
  <cacheHierarchies count="27">
    <cacheHierarchy uniqueName="[date].[التاريخ]" caption="التاريخ" attribute="1" time="1" defaultMemberUniqueName="[date].[التاريخ].[All]" allUniqueName="[date].[التاريخ].[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التاريخ (Month)]" caption="التاريخ (Month)" attribute="1" defaultMemberUniqueName="[date].[التاريخ (Month)].[All]" allUniqueName="[date].[التاريخ (Month)].[All]" dimensionUniqueName="[date]" displayFolder="" count="0" memberValueDatatype="130" unbalanced="0"/>
    <cacheHierarchy uniqueName="[month_name_arabic].[month_no]" caption="month_no" attribute="1" defaultMemberUniqueName="[month_name_arabic].[month_no].[All]" allUniqueName="[month_name_arabic].[month_no].[All]" dimensionUniqueName="[month_name_arabic]" displayFolder="" count="0" memberValueDatatype="20" unbalanced="0"/>
    <cacheHierarchy uniqueName="[month_name_arabic].[month_arabic_name]" caption="month_arabic_name" attribute="1" defaultMemberUniqueName="[month_name_arabic].[month_arabic_name].[All]" allUniqueName="[month_name_arabic].[month_arabic_name].[All]" dimensionUniqueName="[month_name_arabic]" displayFolder="" count="2" memberValueDatatype="130" unbalanced="0">
      <fieldsUsage count="2">
        <fieldUsage x="-1"/>
        <fieldUsage x="2"/>
      </fieldsUsage>
    </cacheHierarchy>
    <cacheHierarchy uniqueName="[product_category].[المنتج]" caption="المنتج" attribute="1" defaultMemberUniqueName="[product_category].[المنتج].[All]" allUniqueName="[product_category].[المنتج].[All]" dimensionUniqueName="[product_category]" displayFolder="" count="0" memberValueDatatype="130" unbalanced="0"/>
    <cacheHierarchy uniqueName="[product_category].[الفئة]" caption="الفئة" attribute="1" defaultMemberUniqueName="[product_category].[الفئة].[All]" allUniqueName="[product_category].[الفئة].[All]" dimensionUniqueName="[product_category]" displayFolder="" count="2" memberValueDatatype="130" unbalanced="0"/>
    <cacheHierarchy uniqueName="[Supermarket_Data].[رقم الفاتورة]" caption="رقم الفاتورة" attribute="1" defaultMemberUniqueName="[Supermarket_Data].[رقم الفاتورة].[All]" allUniqueName="[Supermarket_Data].[رقم الفاتورة].[All]" dimensionUniqueName="[Supermarket_Data]" displayFolder="" count="0" memberValueDatatype="20" unbalanced="0"/>
    <cacheHierarchy uniqueName="[Supermarket_Data].[التاريخ]" caption="التاريخ" attribute="1" time="1" defaultMemberUniqueName="[Supermarket_Data].[التاريخ].[All]" allUniqueName="[Supermarket_Data].[التاريخ].[All]" dimensionUniqueName="[Supermarket_Data]" displayFolder="" count="0" memberValueDatatype="7" unbalanced="0"/>
    <cacheHierarchy uniqueName="[Supermarket_Data].[المنتج]" caption="المنتج" attribute="1" defaultMemberUniqueName="[Supermarket_Data].[المنتج].[All]" allUniqueName="[Supermarket_Data].[المنتج].[All]" dimensionUniqueName="[Supermarket_Data]" displayFolder="" count="2" memberValueDatatype="130" unbalanced="0">
      <fieldsUsage count="2">
        <fieldUsage x="-1"/>
        <fieldUsage x="0"/>
      </fieldsUsage>
    </cacheHierarchy>
    <cacheHierarchy uniqueName="[Supermarket_Data].[السعر_للواحدة]" caption="السعر_للواحدة" attribute="1" defaultMemberUniqueName="[Supermarket_Data].[السعر_للواحدة].[All]" allUniqueName="[Supermarket_Data].[السعر_للواحدة].[All]" dimensionUniqueName="[Supermarket_Data]" displayFolder="" count="0" memberValueDatatype="5" unbalanced="0"/>
    <cacheHierarchy uniqueName="[Supermarket_Data].[الكمية_المباعة]" caption="الكمية_المباعة" attribute="1" defaultMemberUniqueName="[Supermarket_Data].[الكمية_المباعة].[All]" allUniqueName="[Supermarket_Data].[الكمية_المباعة].[All]" dimensionUniqueName="[Supermarket_Data]" displayFolder="" count="0" memberValueDatatype="20" unbalanced="0"/>
    <cacheHierarchy uniqueName="[Supermarket_Data].[اجمالى  القيمة]" caption="اجمالى  القيمة" attribute="1" defaultMemberUniqueName="[Supermarket_Data].[اجمالى  القيمة].[All]" allUniqueName="[Supermarket_Data].[اجمالى  القيمة].[All]" dimensionUniqueName="[Supermarket_Data]" displayFolder="" count="0" memberValueDatatype="5" unbalanced="0"/>
    <cacheHierarchy uniqueName="[date].[التاريخ (Month Index)]" caption="التاريخ (Month Index)" attribute="1" defaultMemberUniqueName="[date].[التاريخ (Month Index)].[All]" allUniqueName="[date].[التاريخ (Month Index)].[All]" dimensionUniqueName="[date]" displayFolder="" count="0" memberValueDatatype="20" unbalanced="0" hidden="1"/>
    <cacheHierarchy uniqueName="[Measures].[__XL_Count Supermarket_Data]" caption="__XL_Count Supermarket_Data" measure="1" displayFolder="" measureGroup="Supermarket_Data" count="0" hidden="1"/>
    <cacheHierarchy uniqueName="[Measures].[__XL_Count date]" caption="__XL_Count date" measure="1" displayFolder="" measureGroup="date" count="0" hidden="1"/>
    <cacheHierarchy uniqueName="[Measures].[__XL_Count product_category]" caption="__XL_Count product_category" measure="1" displayFolder="" measureGroup="product_category" count="0" hidden="1"/>
    <cacheHierarchy uniqueName="[Measures].[__XL_Count month_name_arabic]" caption="__XL_Count month_name_arabic" measure="1" displayFolder="" measureGroup="month_name_arabic" count="0" hidden="1"/>
    <cacheHierarchy uniqueName="[Measures].[__No measures defined]" caption="__No measures defined" measure="1" displayFolder="" count="0" hidden="1"/>
    <cacheHierarchy uniqueName="[Measures].[Sum of اجمالى  القيمة]" caption="Sum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Sum of الكمية_المباعة]" caption="Sum of الكمية_المباعة" measure="1" displayFolder="" measureGroup="Supermarket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اجمالى  القيمة]" caption="Average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Average of الكمية_المباعة]" caption="Average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Sum of السعر_للواحدة]" caption="Sum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Average of السعر_للواحدة]" caption="Average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Count of المنتج]" caption="Count of المنتج" measure="1" displayFolder="" measureGroup="Supermarket_Data" count="0" hidden="1">
      <extLst>
        <ext xmlns:x15="http://schemas.microsoft.com/office/spreadsheetml/2010/11/main" uri="{B97F6D7D-B522-45F9-BDA1-12C45D357490}">
          <x15:cacheHierarchy aggregatedColumn="9"/>
        </ext>
      </extLst>
    </cacheHierarchy>
    <cacheHierarchy uniqueName="[Measures].[Distinct Count of المنتج]" caption="Distinct Count of المنتج" measure="1" displayFolder="" measureGroup="Supermarket_Data" count="0" hidden="1">
      <extLst>
        <ext xmlns:x15="http://schemas.microsoft.com/office/spreadsheetml/2010/11/main" uri="{B97F6D7D-B522-45F9-BDA1-12C45D357490}">
          <x15:cacheHierarchy aggregatedColumn="9"/>
        </ext>
      </extLst>
    </cacheHierarchy>
  </cacheHierarchies>
  <kpis count="0"/>
  <dimensions count="5">
    <dimension name="date" uniqueName="[date]" caption="date"/>
    <dimension measure="1" name="Measures" uniqueName="[Measures]" caption="Measures"/>
    <dimension name="month_name_arabic" uniqueName="[month_name_arabic]" caption="month_name_arabic"/>
    <dimension name="product_category" uniqueName="[product_category]" caption="product_category"/>
    <dimension name="Supermarket_Data" uniqueName="[Supermarket_Data]" caption="Supermarket_Data"/>
  </dimensions>
  <measureGroups count="4">
    <measureGroup name="date" caption="date"/>
    <measureGroup name="month_name_arabic" caption="month_name_arabic"/>
    <measureGroup name="product_category" caption="product_category"/>
    <measureGroup name="Supermarket_Data" caption="Supermarket_Data"/>
  </measureGroups>
  <maps count="8">
    <map measureGroup="0" dimension="0"/>
    <map measureGroup="0" dimension="2"/>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2.065777314812" backgroundQuery="1" createdVersion="7" refreshedVersion="7" minRefreshableVersion="3" recordCount="0" supportSubquery="1" supportAdvancedDrill="1" xr:uid="{0D85124D-2072-427B-8932-4A7AC2EBE1F8}">
  <cacheSource type="external" connectionId="9"/>
  <cacheFields count="3">
    <cacheField name="[Supermarket_Data].[المنتج].[المنتج]" caption="المنتج" numFmtId="0" hierarchy="9" level="1">
      <sharedItems count="8">
        <s v="إسفنجة تنظيف"/>
        <s v="زيت طعام"/>
        <s v="سائل تنظيف"/>
        <s v="شامبو"/>
        <s v="شاي"/>
        <s v="صلصة طماطم"/>
        <s v="منظف أرضيات"/>
        <s v="بسكويت" u="1"/>
      </sharedItems>
    </cacheField>
    <cacheField name="[Measures].[Sum of الكمية_المباعة]" caption="Sum of الكمية_المباعة" numFmtId="0" hierarchy="20" level="32767"/>
    <cacheField name="[month_name_arabic].[month_arabic_name].[month_arabic_name]" caption="month_arabic_name" numFmtId="0" hierarchy="4" level="1">
      <sharedItems containsSemiMixedTypes="0" containsNonDate="0" containsString="0"/>
    </cacheField>
  </cacheFields>
  <cacheHierarchies count="27">
    <cacheHierarchy uniqueName="[date].[التاريخ]" caption="التاريخ" attribute="1" time="1" defaultMemberUniqueName="[date].[التاريخ].[All]" allUniqueName="[date].[التاريخ].[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التاريخ (Month)]" caption="التاريخ (Month)" attribute="1" defaultMemberUniqueName="[date].[التاريخ (Month)].[All]" allUniqueName="[date].[التاريخ (Month)].[All]" dimensionUniqueName="[date]" displayFolder="" count="0" memberValueDatatype="130" unbalanced="0"/>
    <cacheHierarchy uniqueName="[month_name_arabic].[month_no]" caption="month_no" attribute="1" defaultMemberUniqueName="[month_name_arabic].[month_no].[All]" allUniqueName="[month_name_arabic].[month_no].[All]" dimensionUniqueName="[month_name_arabic]" displayFolder="" count="0" memberValueDatatype="20" unbalanced="0"/>
    <cacheHierarchy uniqueName="[month_name_arabic].[month_arabic_name]" caption="month_arabic_name" attribute="1" defaultMemberUniqueName="[month_name_arabic].[month_arabic_name].[All]" allUniqueName="[month_name_arabic].[month_arabic_name].[All]" dimensionUniqueName="[month_name_arabic]" displayFolder="" count="2" memberValueDatatype="130" unbalanced="0">
      <fieldsUsage count="2">
        <fieldUsage x="-1"/>
        <fieldUsage x="2"/>
      </fieldsUsage>
    </cacheHierarchy>
    <cacheHierarchy uniqueName="[product_category].[المنتج]" caption="المنتج" attribute="1" defaultMemberUniqueName="[product_category].[المنتج].[All]" allUniqueName="[product_category].[المنتج].[All]" dimensionUniqueName="[product_category]" displayFolder="" count="0" memberValueDatatype="130" unbalanced="0"/>
    <cacheHierarchy uniqueName="[product_category].[الفئة]" caption="الفئة" attribute="1" defaultMemberUniqueName="[product_category].[الفئة].[All]" allUniqueName="[product_category].[الفئة].[All]" dimensionUniqueName="[product_category]" displayFolder="" count="2" memberValueDatatype="130" unbalanced="0"/>
    <cacheHierarchy uniqueName="[Supermarket_Data].[رقم الفاتورة]" caption="رقم الفاتورة" attribute="1" defaultMemberUniqueName="[Supermarket_Data].[رقم الفاتورة].[All]" allUniqueName="[Supermarket_Data].[رقم الفاتورة].[All]" dimensionUniqueName="[Supermarket_Data]" displayFolder="" count="0" memberValueDatatype="20" unbalanced="0"/>
    <cacheHierarchy uniqueName="[Supermarket_Data].[التاريخ]" caption="التاريخ" attribute="1" time="1" defaultMemberUniqueName="[Supermarket_Data].[التاريخ].[All]" allUniqueName="[Supermarket_Data].[التاريخ].[All]" dimensionUniqueName="[Supermarket_Data]" displayFolder="" count="0" memberValueDatatype="7" unbalanced="0"/>
    <cacheHierarchy uniqueName="[Supermarket_Data].[المنتج]" caption="المنتج" attribute="1" defaultMemberUniqueName="[Supermarket_Data].[المنتج].[All]" allUniqueName="[Supermarket_Data].[المنتج].[All]" dimensionUniqueName="[Supermarket_Data]" displayFolder="" count="2" memberValueDatatype="130" unbalanced="0">
      <fieldsUsage count="2">
        <fieldUsage x="-1"/>
        <fieldUsage x="0"/>
      </fieldsUsage>
    </cacheHierarchy>
    <cacheHierarchy uniqueName="[Supermarket_Data].[السعر_للواحدة]" caption="السعر_للواحدة" attribute="1" defaultMemberUniqueName="[Supermarket_Data].[السعر_للواحدة].[All]" allUniqueName="[Supermarket_Data].[السعر_للواحدة].[All]" dimensionUniqueName="[Supermarket_Data]" displayFolder="" count="0" memberValueDatatype="5" unbalanced="0"/>
    <cacheHierarchy uniqueName="[Supermarket_Data].[الكمية_المباعة]" caption="الكمية_المباعة" attribute="1" defaultMemberUniqueName="[Supermarket_Data].[الكمية_المباعة].[All]" allUniqueName="[Supermarket_Data].[الكمية_المباعة].[All]" dimensionUniqueName="[Supermarket_Data]" displayFolder="" count="0" memberValueDatatype="20" unbalanced="0"/>
    <cacheHierarchy uniqueName="[Supermarket_Data].[اجمالى  القيمة]" caption="اجمالى  القيمة" attribute="1" defaultMemberUniqueName="[Supermarket_Data].[اجمالى  القيمة].[All]" allUniqueName="[Supermarket_Data].[اجمالى  القيمة].[All]" dimensionUniqueName="[Supermarket_Data]" displayFolder="" count="0" memberValueDatatype="5" unbalanced="0"/>
    <cacheHierarchy uniqueName="[date].[التاريخ (Month Index)]" caption="التاريخ (Month Index)" attribute="1" defaultMemberUniqueName="[date].[التاريخ (Month Index)].[All]" allUniqueName="[date].[التاريخ (Month Index)].[All]" dimensionUniqueName="[date]" displayFolder="" count="0" memberValueDatatype="20" unbalanced="0" hidden="1"/>
    <cacheHierarchy uniqueName="[Measures].[__XL_Count Supermarket_Data]" caption="__XL_Count Supermarket_Data" measure="1" displayFolder="" measureGroup="Supermarket_Data" count="0" hidden="1"/>
    <cacheHierarchy uniqueName="[Measures].[__XL_Count date]" caption="__XL_Count date" measure="1" displayFolder="" measureGroup="date" count="0" hidden="1"/>
    <cacheHierarchy uniqueName="[Measures].[__XL_Count product_category]" caption="__XL_Count product_category" measure="1" displayFolder="" measureGroup="product_category" count="0" hidden="1"/>
    <cacheHierarchy uniqueName="[Measures].[__XL_Count month_name_arabic]" caption="__XL_Count month_name_arabic" measure="1" displayFolder="" measureGroup="month_name_arabic" count="0" hidden="1"/>
    <cacheHierarchy uniqueName="[Measures].[__No measures defined]" caption="__No measures defined" measure="1" displayFolder="" count="0" hidden="1"/>
    <cacheHierarchy uniqueName="[Measures].[Sum of اجمالى  القيمة]" caption="Sum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Sum of الكمية_المباعة]" caption="Sum of الكمية_المباعة" measure="1" displayFolder="" measureGroup="Supermarket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اجمالى  القيمة]" caption="Average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Average of الكمية_المباعة]" caption="Average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Sum of السعر_للواحدة]" caption="Sum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Average of السعر_للواحدة]" caption="Average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Count of المنتج]" caption="Count of المنتج" measure="1" displayFolder="" measureGroup="Supermarket_Data" count="0" hidden="1">
      <extLst>
        <ext xmlns:x15="http://schemas.microsoft.com/office/spreadsheetml/2010/11/main" uri="{B97F6D7D-B522-45F9-BDA1-12C45D357490}">
          <x15:cacheHierarchy aggregatedColumn="9"/>
        </ext>
      </extLst>
    </cacheHierarchy>
    <cacheHierarchy uniqueName="[Measures].[Distinct Count of المنتج]" caption="Distinct Count of المنتج" measure="1" displayFolder="" measureGroup="Supermarket_Data" count="0" hidden="1">
      <extLst>
        <ext xmlns:x15="http://schemas.microsoft.com/office/spreadsheetml/2010/11/main" uri="{B97F6D7D-B522-45F9-BDA1-12C45D357490}">
          <x15:cacheHierarchy aggregatedColumn="9"/>
        </ext>
      </extLst>
    </cacheHierarchy>
  </cacheHierarchies>
  <kpis count="0"/>
  <dimensions count="5">
    <dimension name="date" uniqueName="[date]" caption="date"/>
    <dimension measure="1" name="Measures" uniqueName="[Measures]" caption="Measures"/>
    <dimension name="month_name_arabic" uniqueName="[month_name_arabic]" caption="month_name_arabic"/>
    <dimension name="product_category" uniqueName="[product_category]" caption="product_category"/>
    <dimension name="Supermarket_Data" uniqueName="[Supermarket_Data]" caption="Supermarket_Data"/>
  </dimensions>
  <measureGroups count="4">
    <measureGroup name="date" caption="date"/>
    <measureGroup name="month_name_arabic" caption="month_name_arabic"/>
    <measureGroup name="product_category" caption="product_category"/>
    <measureGroup name="Supermarket_Data" caption="Supermarket_Data"/>
  </measureGroups>
  <maps count="8">
    <map measureGroup="0" dimension="0"/>
    <map measureGroup="0" dimension="2"/>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2.065777662036" backgroundQuery="1" createdVersion="7" refreshedVersion="7" minRefreshableVersion="3" recordCount="0" supportSubquery="1" supportAdvancedDrill="1" xr:uid="{0B4E30D1-1AFD-4806-B564-86D4EF10EB6A}">
  <cacheSource type="external" connectionId="9"/>
  <cacheFields count="3">
    <cacheField name="[product_category].[الفئة].[الفئة]" caption="الفئة" numFmtId="0" hierarchy="6" level="1">
      <sharedItems count="5">
        <s v="حلويات"/>
        <s v="غذائى"/>
        <s v="مشروبات"/>
        <s v="منظفات"/>
        <s v="ورقيات"/>
      </sharedItems>
    </cacheField>
    <cacheField name="[Measures].[Sum of اجمالى  القيمة]" caption="Sum of اجمالى  القيمة" numFmtId="0" hierarchy="19" level="32767"/>
    <cacheField name="[month_name_arabic].[month_arabic_name].[month_arabic_name]" caption="month_arabic_name" numFmtId="0" hierarchy="4" level="1">
      <sharedItems containsSemiMixedTypes="0" containsNonDate="0" containsString="0"/>
    </cacheField>
  </cacheFields>
  <cacheHierarchies count="27">
    <cacheHierarchy uniqueName="[date].[التاريخ]" caption="التاريخ" attribute="1" time="1" defaultMemberUniqueName="[date].[التاريخ].[All]" allUniqueName="[date].[التاريخ].[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التاريخ (Month)]" caption="التاريخ (Month)" attribute="1" defaultMemberUniqueName="[date].[التاريخ (Month)].[All]" allUniqueName="[date].[التاريخ (Month)].[All]" dimensionUniqueName="[date]" displayFolder="" count="0" memberValueDatatype="130" unbalanced="0"/>
    <cacheHierarchy uniqueName="[month_name_arabic].[month_no]" caption="month_no" attribute="1" defaultMemberUniqueName="[month_name_arabic].[month_no].[All]" allUniqueName="[month_name_arabic].[month_no].[All]" dimensionUniqueName="[month_name_arabic]" displayFolder="" count="0" memberValueDatatype="20" unbalanced="0"/>
    <cacheHierarchy uniqueName="[month_name_arabic].[month_arabic_name]" caption="month_arabic_name" attribute="1" defaultMemberUniqueName="[month_name_arabic].[month_arabic_name].[All]" allUniqueName="[month_name_arabic].[month_arabic_name].[All]" dimensionUniqueName="[month_name_arabic]" displayFolder="" count="2" memberValueDatatype="130" unbalanced="0">
      <fieldsUsage count="2">
        <fieldUsage x="-1"/>
        <fieldUsage x="2"/>
      </fieldsUsage>
    </cacheHierarchy>
    <cacheHierarchy uniqueName="[product_category].[المنتج]" caption="المنتج" attribute="1" defaultMemberUniqueName="[product_category].[المنتج].[All]" allUniqueName="[product_category].[المنتج].[All]" dimensionUniqueName="[product_category]" displayFolder="" count="0" memberValueDatatype="130" unbalanced="0"/>
    <cacheHierarchy uniqueName="[product_category].[الفئة]" caption="الفئة" attribute="1" defaultMemberUniqueName="[product_category].[الفئة].[All]" allUniqueName="[product_category].[الفئة].[All]" dimensionUniqueName="[product_category]" displayFolder="" count="2" memberValueDatatype="130" unbalanced="0">
      <fieldsUsage count="2">
        <fieldUsage x="-1"/>
        <fieldUsage x="0"/>
      </fieldsUsage>
    </cacheHierarchy>
    <cacheHierarchy uniqueName="[Supermarket_Data].[رقم الفاتورة]" caption="رقم الفاتورة" attribute="1" defaultMemberUniqueName="[Supermarket_Data].[رقم الفاتورة].[All]" allUniqueName="[Supermarket_Data].[رقم الفاتورة].[All]" dimensionUniqueName="[Supermarket_Data]" displayFolder="" count="0" memberValueDatatype="20" unbalanced="0"/>
    <cacheHierarchy uniqueName="[Supermarket_Data].[التاريخ]" caption="التاريخ" attribute="1" time="1" defaultMemberUniqueName="[Supermarket_Data].[التاريخ].[All]" allUniqueName="[Supermarket_Data].[التاريخ].[All]" dimensionUniqueName="[Supermarket_Data]" displayFolder="" count="0" memberValueDatatype="7" unbalanced="0"/>
    <cacheHierarchy uniqueName="[Supermarket_Data].[المنتج]" caption="المنتج" attribute="1" defaultMemberUniqueName="[Supermarket_Data].[المنتج].[All]" allUniqueName="[Supermarket_Data].[المنتج].[All]" dimensionUniqueName="[Supermarket_Data]" displayFolder="" count="0" memberValueDatatype="130" unbalanced="0"/>
    <cacheHierarchy uniqueName="[Supermarket_Data].[السعر_للواحدة]" caption="السعر_للواحدة" attribute="1" defaultMemberUniqueName="[Supermarket_Data].[السعر_للواحدة].[All]" allUniqueName="[Supermarket_Data].[السعر_للواحدة].[All]" dimensionUniqueName="[Supermarket_Data]" displayFolder="" count="0" memberValueDatatype="5" unbalanced="0"/>
    <cacheHierarchy uniqueName="[Supermarket_Data].[الكمية_المباعة]" caption="الكمية_المباعة" attribute="1" defaultMemberUniqueName="[Supermarket_Data].[الكمية_المباعة].[All]" allUniqueName="[Supermarket_Data].[الكمية_المباعة].[All]" dimensionUniqueName="[Supermarket_Data]" displayFolder="" count="0" memberValueDatatype="20" unbalanced="0"/>
    <cacheHierarchy uniqueName="[Supermarket_Data].[اجمالى  القيمة]" caption="اجمالى  القيمة" attribute="1" defaultMemberUniqueName="[Supermarket_Data].[اجمالى  القيمة].[All]" allUniqueName="[Supermarket_Data].[اجمالى  القيمة].[All]" dimensionUniqueName="[Supermarket_Data]" displayFolder="" count="0" memberValueDatatype="5" unbalanced="0"/>
    <cacheHierarchy uniqueName="[date].[التاريخ (Month Index)]" caption="التاريخ (Month Index)" attribute="1" defaultMemberUniqueName="[date].[التاريخ (Month Index)].[All]" allUniqueName="[date].[التاريخ (Month Index)].[All]" dimensionUniqueName="[date]" displayFolder="" count="0" memberValueDatatype="20" unbalanced="0" hidden="1"/>
    <cacheHierarchy uniqueName="[Measures].[__XL_Count Supermarket_Data]" caption="__XL_Count Supermarket_Data" measure="1" displayFolder="" measureGroup="Supermarket_Data" count="0" hidden="1"/>
    <cacheHierarchy uniqueName="[Measures].[__XL_Count date]" caption="__XL_Count date" measure="1" displayFolder="" measureGroup="date" count="0" hidden="1"/>
    <cacheHierarchy uniqueName="[Measures].[__XL_Count product_category]" caption="__XL_Count product_category" measure="1" displayFolder="" measureGroup="product_category" count="0" hidden="1"/>
    <cacheHierarchy uniqueName="[Measures].[__XL_Count month_name_arabic]" caption="__XL_Count month_name_arabic" measure="1" displayFolder="" measureGroup="month_name_arabic" count="0" hidden="1"/>
    <cacheHierarchy uniqueName="[Measures].[__No measures defined]" caption="__No measures defined" measure="1" displayFolder="" count="0" hidden="1"/>
    <cacheHierarchy uniqueName="[Measures].[Sum of اجمالى  القيمة]" caption="Sum of اجمالى  القيمة" measure="1" displayFolder="" measureGroup="Supermarket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الكمية_المباعة]" caption="Sum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Average of اجمالى  القيمة]" caption="Average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Average of الكمية_المباعة]" caption="Average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Sum of السعر_للواحدة]" caption="Sum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Average of السعر_للواحدة]" caption="Average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Count of المنتج]" caption="Count of المنتج" measure="1" displayFolder="" measureGroup="Supermarket_Data" count="0" hidden="1">
      <extLst>
        <ext xmlns:x15="http://schemas.microsoft.com/office/spreadsheetml/2010/11/main" uri="{B97F6D7D-B522-45F9-BDA1-12C45D357490}">
          <x15:cacheHierarchy aggregatedColumn="9"/>
        </ext>
      </extLst>
    </cacheHierarchy>
    <cacheHierarchy uniqueName="[Measures].[Distinct Count of المنتج]" caption="Distinct Count of المنتج" measure="1" displayFolder="" measureGroup="Supermarket_Data" count="0" hidden="1">
      <extLst>
        <ext xmlns:x15="http://schemas.microsoft.com/office/spreadsheetml/2010/11/main" uri="{B97F6D7D-B522-45F9-BDA1-12C45D357490}">
          <x15:cacheHierarchy aggregatedColumn="9"/>
        </ext>
      </extLst>
    </cacheHierarchy>
  </cacheHierarchies>
  <kpis count="0"/>
  <dimensions count="5">
    <dimension name="date" uniqueName="[date]" caption="date"/>
    <dimension measure="1" name="Measures" uniqueName="[Measures]" caption="Measures"/>
    <dimension name="month_name_arabic" uniqueName="[month_name_arabic]" caption="month_name_arabic"/>
    <dimension name="product_category" uniqueName="[product_category]" caption="product_category"/>
    <dimension name="Supermarket_Data" uniqueName="[Supermarket_Data]" caption="Supermarket_Data"/>
  </dimensions>
  <measureGroups count="4">
    <measureGroup name="date" caption="date"/>
    <measureGroup name="month_name_arabic" caption="month_name_arabic"/>
    <measureGroup name="product_category" caption="product_category"/>
    <measureGroup name="Supermarket_Data" caption="Supermarket_Data"/>
  </measureGroups>
  <maps count="8">
    <map measureGroup="0" dimension="0"/>
    <map measureGroup="0" dimension="2"/>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2.06577789352" backgroundQuery="1" createdVersion="7" refreshedVersion="7" minRefreshableVersion="3" recordCount="0" supportSubquery="1" supportAdvancedDrill="1" xr:uid="{65F4C835-8E93-4E67-A16D-7D6251FB7476}">
  <cacheSource type="external" connectionId="9"/>
  <cacheFields count="2">
    <cacheField name="[Measures].[Distinct Count of المنتج]" caption="Distinct Count of المنتج" numFmtId="0" hierarchy="26" level="32767"/>
    <cacheField name="[month_name_arabic].[month_arabic_name].[month_arabic_name]" caption="month_arabic_name" numFmtId="0" hierarchy="4" level="1">
      <sharedItems containsSemiMixedTypes="0" containsNonDate="0" containsString="0"/>
    </cacheField>
  </cacheFields>
  <cacheHierarchies count="27">
    <cacheHierarchy uniqueName="[date].[التاريخ]" caption="التاريخ" attribute="1" time="1" defaultMemberUniqueName="[date].[التاريخ].[All]" allUniqueName="[date].[التاريخ].[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التاريخ (Month)]" caption="التاريخ (Month)" attribute="1" defaultMemberUniqueName="[date].[التاريخ (Month)].[All]" allUniqueName="[date].[التاريخ (Month)].[All]" dimensionUniqueName="[date]" displayFolder="" count="0" memberValueDatatype="130" unbalanced="0"/>
    <cacheHierarchy uniqueName="[month_name_arabic].[month_no]" caption="month_no" attribute="1" defaultMemberUniqueName="[month_name_arabic].[month_no].[All]" allUniqueName="[month_name_arabic].[month_no].[All]" dimensionUniqueName="[month_name_arabic]" displayFolder="" count="0" memberValueDatatype="20" unbalanced="0"/>
    <cacheHierarchy uniqueName="[month_name_arabic].[month_arabic_name]" caption="month_arabic_name" attribute="1" defaultMemberUniqueName="[month_name_arabic].[month_arabic_name].[All]" allUniqueName="[month_name_arabic].[month_arabic_name].[All]" dimensionUniqueName="[month_name_arabic]" displayFolder="" count="2" memberValueDatatype="130" unbalanced="0">
      <fieldsUsage count="2">
        <fieldUsage x="-1"/>
        <fieldUsage x="1"/>
      </fieldsUsage>
    </cacheHierarchy>
    <cacheHierarchy uniqueName="[product_category].[المنتج]" caption="المنتج" attribute="1" defaultMemberUniqueName="[product_category].[المنتج].[All]" allUniqueName="[product_category].[المنتج].[All]" dimensionUniqueName="[product_category]" displayFolder="" count="0" memberValueDatatype="130" unbalanced="0"/>
    <cacheHierarchy uniqueName="[product_category].[الفئة]" caption="الفئة" attribute="1" defaultMemberUniqueName="[product_category].[الفئة].[All]" allUniqueName="[product_category].[الفئة].[All]" dimensionUniqueName="[product_category]" displayFolder="" count="2" memberValueDatatype="130" unbalanced="0"/>
    <cacheHierarchy uniqueName="[Supermarket_Data].[رقم الفاتورة]" caption="رقم الفاتورة" attribute="1" defaultMemberUniqueName="[Supermarket_Data].[رقم الفاتورة].[All]" allUniqueName="[Supermarket_Data].[رقم الفاتورة].[All]" dimensionUniqueName="[Supermarket_Data]" displayFolder="" count="0" memberValueDatatype="20" unbalanced="0"/>
    <cacheHierarchy uniqueName="[Supermarket_Data].[التاريخ]" caption="التاريخ" attribute="1" time="1" defaultMemberUniqueName="[Supermarket_Data].[التاريخ].[All]" allUniqueName="[Supermarket_Data].[التاريخ].[All]" dimensionUniqueName="[Supermarket_Data]" displayFolder="" count="0" memberValueDatatype="7" unbalanced="0"/>
    <cacheHierarchy uniqueName="[Supermarket_Data].[المنتج]" caption="المنتج" attribute="1" defaultMemberUniqueName="[Supermarket_Data].[المنتج].[All]" allUniqueName="[Supermarket_Data].[المنتج].[All]" dimensionUniqueName="[Supermarket_Data]" displayFolder="" count="0" memberValueDatatype="130" unbalanced="0"/>
    <cacheHierarchy uniqueName="[Supermarket_Data].[السعر_للواحدة]" caption="السعر_للواحدة" attribute="1" defaultMemberUniqueName="[Supermarket_Data].[السعر_للواحدة].[All]" allUniqueName="[Supermarket_Data].[السعر_للواحدة].[All]" dimensionUniqueName="[Supermarket_Data]" displayFolder="" count="0" memberValueDatatype="5" unbalanced="0"/>
    <cacheHierarchy uniqueName="[Supermarket_Data].[الكمية_المباعة]" caption="الكمية_المباعة" attribute="1" defaultMemberUniqueName="[Supermarket_Data].[الكمية_المباعة].[All]" allUniqueName="[Supermarket_Data].[الكمية_المباعة].[All]" dimensionUniqueName="[Supermarket_Data]" displayFolder="" count="0" memberValueDatatype="20" unbalanced="0"/>
    <cacheHierarchy uniqueName="[Supermarket_Data].[اجمالى  القيمة]" caption="اجمالى  القيمة" attribute="1" defaultMemberUniqueName="[Supermarket_Data].[اجمالى  القيمة].[All]" allUniqueName="[Supermarket_Data].[اجمالى  القيمة].[All]" dimensionUniqueName="[Supermarket_Data]" displayFolder="" count="0" memberValueDatatype="5" unbalanced="0"/>
    <cacheHierarchy uniqueName="[date].[التاريخ (Month Index)]" caption="التاريخ (Month Index)" attribute="1" defaultMemberUniqueName="[date].[التاريخ (Month Index)].[All]" allUniqueName="[date].[التاريخ (Month Index)].[All]" dimensionUniqueName="[date]" displayFolder="" count="0" memberValueDatatype="20" unbalanced="0" hidden="1"/>
    <cacheHierarchy uniqueName="[Measures].[__XL_Count Supermarket_Data]" caption="__XL_Count Supermarket_Data" measure="1" displayFolder="" measureGroup="Supermarket_Data" count="0" hidden="1"/>
    <cacheHierarchy uniqueName="[Measures].[__XL_Count date]" caption="__XL_Count date" measure="1" displayFolder="" measureGroup="date" count="0" hidden="1"/>
    <cacheHierarchy uniqueName="[Measures].[__XL_Count product_category]" caption="__XL_Count product_category" measure="1" displayFolder="" measureGroup="product_category" count="0" hidden="1"/>
    <cacheHierarchy uniqueName="[Measures].[__XL_Count month_name_arabic]" caption="__XL_Count month_name_arabic" measure="1" displayFolder="" measureGroup="month_name_arabic" count="0" hidden="1"/>
    <cacheHierarchy uniqueName="[Measures].[__No measures defined]" caption="__No measures defined" measure="1" displayFolder="" count="0" hidden="1"/>
    <cacheHierarchy uniqueName="[Measures].[Sum of اجمالى  القيمة]" caption="Sum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Sum of الكمية_المباعة]" caption="Sum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Average of اجمالى  القيمة]" caption="Average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Average of الكمية_المباعة]" caption="Average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Sum of السعر_للواحدة]" caption="Sum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Average of السعر_للواحدة]" caption="Average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Count of المنتج]" caption="Count of المنتج" measure="1" displayFolder="" measureGroup="Supermarket_Data" count="0" hidden="1">
      <extLst>
        <ext xmlns:x15="http://schemas.microsoft.com/office/spreadsheetml/2010/11/main" uri="{B97F6D7D-B522-45F9-BDA1-12C45D357490}">
          <x15:cacheHierarchy aggregatedColumn="9"/>
        </ext>
      </extLst>
    </cacheHierarchy>
    <cacheHierarchy uniqueName="[Measures].[Distinct Count of المنتج]" caption="Distinct Count of المنتج" measure="1" displayFolder="" measureGroup="Supermarket_Data"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5">
    <dimension name="date" uniqueName="[date]" caption="date"/>
    <dimension measure="1" name="Measures" uniqueName="[Measures]" caption="Measures"/>
    <dimension name="month_name_arabic" uniqueName="[month_name_arabic]" caption="month_name_arabic"/>
    <dimension name="product_category" uniqueName="[product_category]" caption="product_category"/>
    <dimension name="Supermarket_Data" uniqueName="[Supermarket_Data]" caption="Supermarket_Data"/>
  </dimensions>
  <measureGroups count="4">
    <measureGroup name="date" caption="date"/>
    <measureGroup name="month_name_arabic" caption="month_name_arabic"/>
    <measureGroup name="product_category" caption="product_category"/>
    <measureGroup name="Supermarket_Data" caption="Supermarket_Data"/>
  </measureGroups>
  <maps count="8">
    <map measureGroup="0" dimension="0"/>
    <map measureGroup="0" dimension="2"/>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4.96232766204" backgroundQuery="1" createdVersion="7" refreshedVersion="7" minRefreshableVersion="3" recordCount="0" supportSubquery="1" supportAdvancedDrill="1" xr:uid="{631BE95F-E82E-41F5-8071-DF52A1E2E724}">
  <cacheSource type="external" connectionId="9"/>
  <cacheFields count="2">
    <cacheField name="[month_name_arabic].[month_arabic_name].[month_arabic_name]" caption="month_arabic_name" numFmtId="0" hierarchy="4" level="1">
      <sharedItems count="6">
        <s v="يناير"/>
        <s v="فبراير"/>
        <s v="مارس"/>
        <s v="ابريل"/>
        <s v="مايو"/>
        <s v="يونيو"/>
      </sharedItems>
    </cacheField>
    <cacheField name="[Measures].[Average of السعر_للواحدة]" caption="Average of السعر_للواحدة" numFmtId="0" hierarchy="24" level="32767"/>
  </cacheFields>
  <cacheHierarchies count="27">
    <cacheHierarchy uniqueName="[date].[التاريخ]" caption="التاريخ" attribute="1" time="1" defaultMemberUniqueName="[date].[التاريخ].[All]" allUniqueName="[date].[التاريخ].[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التاريخ (Month)]" caption="التاريخ (Month)" attribute="1" defaultMemberUniqueName="[date].[التاريخ (Month)].[All]" allUniqueName="[date].[التاريخ (Month)].[All]" dimensionUniqueName="[date]" displayFolder="" count="0" memberValueDatatype="130" unbalanced="0"/>
    <cacheHierarchy uniqueName="[month_name_arabic].[month_no]" caption="month_no" attribute="1" defaultMemberUniqueName="[month_name_arabic].[month_no].[All]" allUniqueName="[month_name_arabic].[month_no].[All]" dimensionUniqueName="[month_name_arabic]" displayFolder="" count="0" memberValueDatatype="20" unbalanced="0"/>
    <cacheHierarchy uniqueName="[month_name_arabic].[month_arabic_name]" caption="month_arabic_name" attribute="1" defaultMemberUniqueName="[month_name_arabic].[month_arabic_name].[All]" allUniqueName="[month_name_arabic].[month_arabic_name].[All]" dimensionUniqueName="[month_name_arabic]" displayFolder="" count="2" memberValueDatatype="130" unbalanced="0">
      <fieldsUsage count="2">
        <fieldUsage x="-1"/>
        <fieldUsage x="0"/>
      </fieldsUsage>
    </cacheHierarchy>
    <cacheHierarchy uniqueName="[product_category].[المنتج]" caption="المنتج" attribute="1" defaultMemberUniqueName="[product_category].[المنتج].[All]" allUniqueName="[product_category].[المنتج].[All]" dimensionUniqueName="[product_category]" displayFolder="" count="0" memberValueDatatype="130" unbalanced="0"/>
    <cacheHierarchy uniqueName="[product_category].[الفئة]" caption="الفئة" attribute="1" defaultMemberUniqueName="[product_category].[الفئة].[All]" allUniqueName="[product_category].[الفئة].[All]" dimensionUniqueName="[product_category]" displayFolder="" count="0" memberValueDatatype="130" unbalanced="0"/>
    <cacheHierarchy uniqueName="[Supermarket_Data].[رقم الفاتورة]" caption="رقم الفاتورة" attribute="1" defaultMemberUniqueName="[Supermarket_Data].[رقم الفاتورة].[All]" allUniqueName="[Supermarket_Data].[رقم الفاتورة].[All]" dimensionUniqueName="[Supermarket_Data]" displayFolder="" count="0" memberValueDatatype="20" unbalanced="0"/>
    <cacheHierarchy uniqueName="[Supermarket_Data].[التاريخ]" caption="التاريخ" attribute="1" time="1" defaultMemberUniqueName="[Supermarket_Data].[التاريخ].[All]" allUniqueName="[Supermarket_Data].[التاريخ].[All]" dimensionUniqueName="[Supermarket_Data]" displayFolder="" count="0" memberValueDatatype="7" unbalanced="0"/>
    <cacheHierarchy uniqueName="[Supermarket_Data].[المنتج]" caption="المنتج" attribute="1" defaultMemberUniqueName="[Supermarket_Data].[المنتج].[All]" allUniqueName="[Supermarket_Data].[المنتج].[All]" dimensionUniqueName="[Supermarket_Data]" displayFolder="" count="0" memberValueDatatype="130" unbalanced="0"/>
    <cacheHierarchy uniqueName="[Supermarket_Data].[السعر_للواحدة]" caption="السعر_للواحدة" attribute="1" defaultMemberUniqueName="[Supermarket_Data].[السعر_للواحدة].[All]" allUniqueName="[Supermarket_Data].[السعر_للواحدة].[All]" dimensionUniqueName="[Supermarket_Data]" displayFolder="" count="0" memberValueDatatype="5" unbalanced="0"/>
    <cacheHierarchy uniqueName="[Supermarket_Data].[الكمية_المباعة]" caption="الكمية_المباعة" attribute="1" defaultMemberUniqueName="[Supermarket_Data].[الكمية_المباعة].[All]" allUniqueName="[Supermarket_Data].[الكمية_المباعة].[All]" dimensionUniqueName="[Supermarket_Data]" displayFolder="" count="0" memberValueDatatype="20" unbalanced="0"/>
    <cacheHierarchy uniqueName="[Supermarket_Data].[اجمالى  القيمة]" caption="اجمالى  القيمة" attribute="1" defaultMemberUniqueName="[Supermarket_Data].[اجمالى  القيمة].[All]" allUniqueName="[Supermarket_Data].[اجمالى  القيمة].[All]" dimensionUniqueName="[Supermarket_Data]" displayFolder="" count="0" memberValueDatatype="5" unbalanced="0"/>
    <cacheHierarchy uniqueName="[date].[التاريخ (Month Index)]" caption="التاريخ (Month Index)" attribute="1" defaultMemberUniqueName="[date].[التاريخ (Month Index)].[All]" allUniqueName="[date].[التاريخ (Month Index)].[All]" dimensionUniqueName="[date]" displayFolder="" count="0" memberValueDatatype="20" unbalanced="0" hidden="1"/>
    <cacheHierarchy uniqueName="[Measures].[__XL_Count Supermarket_Data]" caption="__XL_Count Supermarket_Data" measure="1" displayFolder="" measureGroup="Supermarket_Data" count="0" hidden="1"/>
    <cacheHierarchy uniqueName="[Measures].[__XL_Count date]" caption="__XL_Count date" measure="1" displayFolder="" measureGroup="date" count="0" hidden="1"/>
    <cacheHierarchy uniqueName="[Measures].[__XL_Count product_category]" caption="__XL_Count product_category" measure="1" displayFolder="" measureGroup="product_category" count="0" hidden="1"/>
    <cacheHierarchy uniqueName="[Measures].[__XL_Count month_name_arabic]" caption="__XL_Count month_name_arabic" measure="1" displayFolder="" measureGroup="month_name_arabic" count="0" hidden="1"/>
    <cacheHierarchy uniqueName="[Measures].[__No measures defined]" caption="__No measures defined" measure="1" displayFolder="" count="0" hidden="1"/>
    <cacheHierarchy uniqueName="[Measures].[Sum of اجمالى  القيمة]" caption="Sum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Sum of الكمية_المباعة]" caption="Sum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Average of اجمالى  القيمة]" caption="Average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Average of الكمية_المباعة]" caption="Average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Sum of السعر_للواحدة]" caption="Sum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Average of السعر_للواحدة]" caption="Average of السعر_للواحدة" measure="1" displayFolder="" measureGroup="Supermarket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المنتج]" caption="Count of المنتج" measure="1" displayFolder="" measureGroup="Supermarket_Data" count="0" hidden="1">
      <extLst>
        <ext xmlns:x15="http://schemas.microsoft.com/office/spreadsheetml/2010/11/main" uri="{B97F6D7D-B522-45F9-BDA1-12C45D357490}">
          <x15:cacheHierarchy aggregatedColumn="9"/>
        </ext>
      </extLst>
    </cacheHierarchy>
    <cacheHierarchy uniqueName="[Measures].[Distinct Count of المنتج]" caption="Distinct Count of المنتج" measure="1" displayFolder="" measureGroup="Supermarket_Data" count="0" hidden="1">
      <extLst>
        <ext xmlns:x15="http://schemas.microsoft.com/office/spreadsheetml/2010/11/main" uri="{B97F6D7D-B522-45F9-BDA1-12C45D357490}">
          <x15:cacheHierarchy aggregatedColumn="9"/>
        </ext>
      </extLst>
    </cacheHierarchy>
  </cacheHierarchies>
  <kpis count="0"/>
  <dimensions count="5">
    <dimension name="date" uniqueName="[date]" caption="date"/>
    <dimension measure="1" name="Measures" uniqueName="[Measures]" caption="Measures"/>
    <dimension name="month_name_arabic" uniqueName="[month_name_arabic]" caption="month_name_arabic"/>
    <dimension name="product_category" uniqueName="[product_category]" caption="product_category"/>
    <dimension name="Supermarket_Data" uniqueName="[Supermarket_Data]" caption="Supermarket_Data"/>
  </dimensions>
  <measureGroups count="4">
    <measureGroup name="date" caption="date"/>
    <measureGroup name="month_name_arabic" caption="month_name_arabic"/>
    <measureGroup name="product_category" caption="product_category"/>
    <measureGroup name="Supermarket_Data" caption="Supermarket_Data"/>
  </measureGroups>
  <maps count="8">
    <map measureGroup="0" dimension="0"/>
    <map measureGroup="0" dimension="2"/>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2.065152546296" backgroundQuery="1" createdVersion="3" refreshedVersion="7" minRefreshableVersion="3" recordCount="0" supportSubquery="1" supportAdvancedDrill="1" xr:uid="{D70CE7C7-A562-47A4-B8E7-316DFFC19D88}">
  <cacheSource type="external" connectionId="9">
    <extLst>
      <ext xmlns:x14="http://schemas.microsoft.com/office/spreadsheetml/2009/9/main" uri="{F057638F-6D5F-4e77-A914-E7F072B9BCA8}">
        <x14:sourceConnection name="ThisWorkbookDataModel"/>
      </ext>
    </extLst>
  </cacheSource>
  <cacheFields count="0"/>
  <cacheHierarchies count="27">
    <cacheHierarchy uniqueName="[date].[التاريخ]" caption="التاريخ" attribute="1" time="1" defaultMemberUniqueName="[date].[التاريخ].[All]" allUniqueName="[date].[التاريخ].[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التاريخ (Month)]" caption="التاريخ (Month)" attribute="1" defaultMemberUniqueName="[date].[التاريخ (Month)].[All]" allUniqueName="[date].[التاريخ (Month)].[All]" dimensionUniqueName="[date]" displayFolder="" count="0" memberValueDatatype="130" unbalanced="0"/>
    <cacheHierarchy uniqueName="[month_name_arabic].[month_no]" caption="month_no" attribute="1" defaultMemberUniqueName="[month_name_arabic].[month_no].[All]" allUniqueName="[month_name_arabic].[month_no].[All]" dimensionUniqueName="[month_name_arabic]" displayFolder="" count="0" memberValueDatatype="20" unbalanced="0"/>
    <cacheHierarchy uniqueName="[month_name_arabic].[month_arabic_name]" caption="month_arabic_name" attribute="1" defaultMemberUniqueName="[month_name_arabic].[month_arabic_name].[All]" allUniqueName="[month_name_arabic].[month_arabic_name].[All]" dimensionUniqueName="[month_name_arabic]" displayFolder="" count="2" memberValueDatatype="130" unbalanced="0"/>
    <cacheHierarchy uniqueName="[product_category].[المنتج]" caption="المنتج" attribute="1" defaultMemberUniqueName="[product_category].[المنتج].[All]" allUniqueName="[product_category].[المنتج].[All]" dimensionUniqueName="[product_category]" displayFolder="" count="0" memberValueDatatype="130" unbalanced="0"/>
    <cacheHierarchy uniqueName="[product_category].[الفئة]" caption="الفئة" attribute="1" defaultMemberUniqueName="[product_category].[الفئة].[All]" allUniqueName="[product_category].[الفئة].[All]" dimensionUniqueName="[product_category]" displayFolder="" count="2" memberValueDatatype="130" unbalanced="0"/>
    <cacheHierarchy uniqueName="[Supermarket_Data].[رقم الفاتورة]" caption="رقم الفاتورة" attribute="1" defaultMemberUniqueName="[Supermarket_Data].[رقم الفاتورة].[All]" allUniqueName="[Supermarket_Data].[رقم الفاتورة].[All]" dimensionUniqueName="[Supermarket_Data]" displayFolder="" count="0" memberValueDatatype="20" unbalanced="0"/>
    <cacheHierarchy uniqueName="[Supermarket_Data].[التاريخ]" caption="التاريخ" attribute="1" time="1" defaultMemberUniqueName="[Supermarket_Data].[التاريخ].[All]" allUniqueName="[Supermarket_Data].[التاريخ].[All]" dimensionUniqueName="[Supermarket_Data]" displayFolder="" count="0" memberValueDatatype="7" unbalanced="0"/>
    <cacheHierarchy uniqueName="[Supermarket_Data].[المنتج]" caption="المنتج" attribute="1" defaultMemberUniqueName="[Supermarket_Data].[المنتج].[All]" allUniqueName="[Supermarket_Data].[المنتج].[All]" dimensionUniqueName="[Supermarket_Data]" displayFolder="" count="0" memberValueDatatype="130" unbalanced="0"/>
    <cacheHierarchy uniqueName="[Supermarket_Data].[السعر_للواحدة]" caption="السعر_للواحدة" attribute="1" defaultMemberUniqueName="[Supermarket_Data].[السعر_للواحدة].[All]" allUniqueName="[Supermarket_Data].[السعر_للواحدة].[All]" dimensionUniqueName="[Supermarket_Data]" displayFolder="" count="0" memberValueDatatype="5" unbalanced="0"/>
    <cacheHierarchy uniqueName="[Supermarket_Data].[الكمية_المباعة]" caption="الكمية_المباعة" attribute="1" defaultMemberUniqueName="[Supermarket_Data].[الكمية_المباعة].[All]" allUniqueName="[Supermarket_Data].[الكمية_المباعة].[All]" dimensionUniqueName="[Supermarket_Data]" displayFolder="" count="0" memberValueDatatype="20" unbalanced="0"/>
    <cacheHierarchy uniqueName="[Supermarket_Data].[اجمالى  القيمة]" caption="اجمالى  القيمة" attribute="1" defaultMemberUniqueName="[Supermarket_Data].[اجمالى  القيمة].[All]" allUniqueName="[Supermarket_Data].[اجمالى  القيمة].[All]" dimensionUniqueName="[Supermarket_Data]" displayFolder="" count="0" memberValueDatatype="5" unbalanced="0"/>
    <cacheHierarchy uniqueName="[date].[التاريخ (Month Index)]" caption="التاريخ (Month Index)" attribute="1" defaultMemberUniqueName="[date].[التاريخ (Month Index)].[All]" allUniqueName="[date].[التاريخ (Month Index)].[All]" dimensionUniqueName="[date]" displayFolder="" count="0" memberValueDatatype="20" unbalanced="0" hidden="1"/>
    <cacheHierarchy uniqueName="[Measures].[__XL_Count Supermarket_Data]" caption="__XL_Count Supermarket_Data" measure="1" displayFolder="" measureGroup="Supermarket_Data" count="0" hidden="1"/>
    <cacheHierarchy uniqueName="[Measures].[__XL_Count date]" caption="__XL_Count date" measure="1" displayFolder="" measureGroup="date" count="0" hidden="1"/>
    <cacheHierarchy uniqueName="[Measures].[__XL_Count product_category]" caption="__XL_Count product_category" measure="1" displayFolder="" measureGroup="product_category" count="0" hidden="1"/>
    <cacheHierarchy uniqueName="[Measures].[__XL_Count month_name_arabic]" caption="__XL_Count month_name_arabic" measure="1" displayFolder="" measureGroup="month_name_arabic" count="0" hidden="1"/>
    <cacheHierarchy uniqueName="[Measures].[__No measures defined]" caption="__No measures defined" measure="1" displayFolder="" count="0" hidden="1"/>
    <cacheHierarchy uniqueName="[Measures].[Sum of اجمالى  القيمة]" caption="Sum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Sum of الكمية_المباعة]" caption="Sum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Average of اجمالى  القيمة]" caption="Average of اجمالى  القيمة" measure="1" displayFolder="" measureGroup="Supermarket_Data" count="0" hidden="1">
      <extLst>
        <ext xmlns:x15="http://schemas.microsoft.com/office/spreadsheetml/2010/11/main" uri="{B97F6D7D-B522-45F9-BDA1-12C45D357490}">
          <x15:cacheHierarchy aggregatedColumn="12"/>
        </ext>
      </extLst>
    </cacheHierarchy>
    <cacheHierarchy uniqueName="[Measures].[Average of الكمية_المباعة]" caption="Average of الكمية_المباعة" measure="1" displayFolder="" measureGroup="Supermarket_Data" count="0" hidden="1">
      <extLst>
        <ext xmlns:x15="http://schemas.microsoft.com/office/spreadsheetml/2010/11/main" uri="{B97F6D7D-B522-45F9-BDA1-12C45D357490}">
          <x15:cacheHierarchy aggregatedColumn="11"/>
        </ext>
      </extLst>
    </cacheHierarchy>
    <cacheHierarchy uniqueName="[Measures].[Sum of السعر_للواحدة]" caption="Sum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Average of السعر_للواحدة]" caption="Average of السعر_للواحدة" measure="1" displayFolder="" measureGroup="Supermarket_Data" count="0" hidden="1">
      <extLst>
        <ext xmlns:x15="http://schemas.microsoft.com/office/spreadsheetml/2010/11/main" uri="{B97F6D7D-B522-45F9-BDA1-12C45D357490}">
          <x15:cacheHierarchy aggregatedColumn="10"/>
        </ext>
      </extLst>
    </cacheHierarchy>
    <cacheHierarchy uniqueName="[Measures].[Count of المنتج]" caption="Count of المنتج" measure="1" displayFolder="" measureGroup="Supermarket_Data" count="0" hidden="1">
      <extLst>
        <ext xmlns:x15="http://schemas.microsoft.com/office/spreadsheetml/2010/11/main" uri="{B97F6D7D-B522-45F9-BDA1-12C45D357490}">
          <x15:cacheHierarchy aggregatedColumn="9"/>
        </ext>
      </extLst>
    </cacheHierarchy>
    <cacheHierarchy uniqueName="[Measures].[Distinct Count of المنتج]" caption="Distinct Count of المنتج" measure="1" displayFolder="" measureGroup="Supermarket_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9265535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444490-A9D7-4C22-A230-4B7BE645AC13}" name="PivotTable10"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J25:K32"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Average of السعر_للواحدة" fld="1" subtotal="average" baseField="0" baseItem="0"/>
  </dataFields>
  <chartFormats count="1">
    <chartFormat chart="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السعر_للواحدة"/>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ket_Data]"/>
        <x15:activeTabTopLevelEntity name="[month_name_arab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FB7B5D-8660-4E31-8238-29384AAAD3E3}" name="PivotTable6" cacheId="0" applyNumberFormats="0" applyBorderFormats="0" applyFontFormats="0" applyPatternFormats="0" applyAlignmentFormats="0" applyWidthHeightFormats="1" dataCaption="Values" tag="34f7aa98-c390-418e-aee4-119e0b23f95b" updatedVersion="7" minRefreshableVersion="3" useAutoFormatting="1" subtotalHiddenItems="1" itemPrintTitles="1" createdVersion="7" indent="0" outline="1" outlineData="1" multipleFieldFilters="0" chartFormat="9">
  <location ref="D14:E21" firstHeaderRow="1" firstDataRow="1" firstDataCol="1"/>
  <pivotFields count="2">
    <pivotField dataField="1" subtotalTop="0" showAll="0" defaultSubtotal="0"/>
    <pivotField axis="axisRow" allDrilled="1" subtotalTop="0" showAll="0" sortType="ascending"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اجمالى  القيمة" fld="0" baseField="0" baseItem="0"/>
  </dataFields>
  <chartFormats count="3">
    <chartFormat chart="3"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Supermarket_Data]"/>
        <x15:activeTabTopLevelEntity name="[month_name_arab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87DFD6-DED5-43E5-A29B-ACEBF4F96D82}" name="PivotTable5" cacheId="5" applyNumberFormats="0" applyBorderFormats="0" applyFontFormats="0" applyPatternFormats="0" applyAlignmentFormats="0" applyWidthHeightFormats="1" dataCaption="Values" tag="28273283-92a9-4f10-ae16-76787b0d05ec" updatedVersion="7" minRefreshableVersion="3" useAutoFormatting="1" subtotalHiddenItems="1" itemPrintTitles="1" createdVersion="7" indent="0" outline="1" outlineData="1" multipleFieldFilters="0">
  <location ref="B24:B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الكمية_المباعة" fld="0" subtotal="average" baseField="0" baseItem="0"/>
  </dataFields>
  <pivotHierarchies count="2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ke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783DD3-B0F9-4A51-B802-1D0C35A8E33C}" name="PivotTable1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6:J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المنتج" fld="0" subtotal="count" baseField="0" baseItem="0">
      <extLst>
        <ext xmlns:x15="http://schemas.microsoft.com/office/spreadsheetml/2010/11/main" uri="{FABC7310-3BB5-11E1-824E-6D434824019B}">
          <x15:dataField isCountDistinct="1"/>
        </ext>
      </extLst>
    </dataField>
  </dataFields>
  <pivotHierarchies count="2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المنتج"/>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ke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1B9A11-769E-4C3B-88AD-84F25AC417CE}" name="PivotTable9" cacheId="7" applyNumberFormats="0" applyBorderFormats="0" applyFontFormats="0" applyPatternFormats="0" applyAlignmentFormats="0" applyWidthHeightFormats="1" dataCaption="Values" tag="5e1de5bb-9652-4eb3-b879-15d932e077bd" updatedVersion="7" minRefreshableVersion="3" useAutoFormatting="1" subtotalHiddenItems="1" itemPrintTitles="1" createdVersion="7" indent="0" outline="1" outlineData="1" multipleFieldFilters="0" chartFormat="8">
  <location ref="G24:H32" firstHeaderRow="1" firstDataRow="1" firstDataCol="1"/>
  <pivotFields count="3">
    <pivotField axis="axisRow" allDrilled="1" subtotalTop="0" showAll="0" measureFilter="1" sortType="de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5"/>
    </i>
    <i>
      <x v="2"/>
    </i>
    <i>
      <x/>
    </i>
    <i>
      <x v="1"/>
    </i>
    <i>
      <x v="3"/>
    </i>
    <i>
      <x v="6"/>
    </i>
    <i>
      <x v="4"/>
    </i>
    <i t="grand">
      <x/>
    </i>
  </rowItems>
  <colItems count="1">
    <i/>
  </colItems>
  <dataFields count="1">
    <dataField name="Sum of الكمية_المباعة" fld="1" baseField="0" baseItem="0"/>
  </dataFields>
  <chartFormats count="2">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7"/>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0">
      <autoFilter ref="A1">
        <filterColumn colId="0">
          <top10 top="0" val="7" filterVal="7"/>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ke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3F8489-2C0C-490D-B822-041E46567D1F}" name="PivotTable7" cacheId="6" applyNumberFormats="0" applyBorderFormats="0" applyFontFormats="0" applyPatternFormats="0" applyAlignmentFormats="0" applyWidthHeightFormats="1" dataCaption="Values" tag="5e1de5bb-9652-4eb3-b879-15d932e077bd" updatedVersion="7" minRefreshableVersion="3" useAutoFormatting="1" subtotalHiddenItems="1" itemPrintTitles="1" createdVersion="7" indent="0" outline="1" outlineData="1" multipleFieldFilters="0" chartFormat="8">
  <location ref="D24:E32" firstHeaderRow="1" firstDataRow="1" firstDataCol="1"/>
  <pivotFields count="3">
    <pivotField axis="axisRow" allDrilled="1" subtotalTop="0" showAll="0" measureFilter="1" sortType="de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2"/>
    </i>
    <i>
      <x v="6"/>
    </i>
    <i>
      <x v="3"/>
    </i>
    <i>
      <x v="4"/>
    </i>
    <i>
      <x v="5"/>
    </i>
    <i>
      <x v="1"/>
    </i>
    <i>
      <x/>
    </i>
    <i t="grand">
      <x/>
    </i>
  </rowItems>
  <colItems count="1">
    <i/>
  </colItems>
  <dataFields count="1">
    <dataField name="Sum of الكمية_المباعة" fld="1" baseField="0" baseItem="0"/>
  </dataFields>
  <chartFormats count="2">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7"/>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7" filterVal="7"/>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ke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553F72-A3E5-44A1-B85F-4811E823A2ED}" name="PivotTable4" cacheId="4" applyNumberFormats="0" applyBorderFormats="0" applyFontFormats="0" applyPatternFormats="0" applyAlignmentFormats="0" applyWidthHeightFormats="1" dataCaption="Values" tag="7869d696-9c45-4dca-8a04-759217d4f72b" updatedVersion="7" minRefreshableVersion="3" useAutoFormatting="1" subtotalHiddenItems="1" itemPrintTitles="1" createdVersion="7" indent="0" outline="1" outlineData="1" multipleFieldFilters="0">
  <location ref="B21:B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اجمالى  القيمة" fld="0" subtotal="average" baseField="0" baseItem="0"/>
  </dataFields>
  <pivotHierarchies count="2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ke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D27ABC-4414-4CC5-A021-C2151C0D537B}" name="PivotTable2" cacheId="2" applyNumberFormats="0" applyBorderFormats="0" applyFontFormats="0" applyPatternFormats="0" applyAlignmentFormats="0" applyWidthHeightFormats="1" dataCaption="Values" tag="fc715a08-b915-46c7-b352-0e7ffb52ba60" updatedVersion="7" minRefreshableVersion="3" useAutoFormatting="1" subtotalHiddenItems="1" itemPrintTitles="1" createdVersion="7" indent="0" outline="1" outlineData="1" multipleFieldFilters="0">
  <location ref="B14:B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اجمالى  القيمة" fld="0" baseField="0" baseItem="0"/>
  </dataFields>
  <pivotHierarchies count="2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ke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90726C-5DA5-420B-AC0C-AFF1144D5078}" name="PivotTable3" cacheId="3" applyNumberFormats="0" applyBorderFormats="0" applyFontFormats="0" applyPatternFormats="0" applyAlignmentFormats="0" applyWidthHeightFormats="1" dataCaption="Values" tag="4d4ba32c-0c8a-4e1b-a420-c30d2a6dc40b" updatedVersion="7" minRefreshableVersion="3" useAutoFormatting="1" subtotalHiddenItems="1" itemPrintTitles="1" createdVersion="7" indent="0" outline="1" outlineData="1" multipleFieldFilters="0">
  <location ref="B18:B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الكمية_المباعة" fld="0" baseField="0" baseItem="0"/>
  </dataFields>
  <pivotHierarchies count="2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ke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BA151C-90AD-4EA7-B073-AF7E48B25607}" name="PivotTable8" cacheId="8" applyNumberFormats="0" applyBorderFormats="0" applyFontFormats="0" applyPatternFormats="0" applyAlignmentFormats="0" applyWidthHeightFormats="1" dataCaption="Values" tag="17063080-e207-4000-ba7e-d326fa2b5b43" updatedVersion="7" minRefreshableVersion="3" useAutoFormatting="1" subtotalHiddenItems="1" itemPrintTitles="1" createdVersion="7" indent="0" outline="1" outlineData="1" multipleFieldFilters="0" chartFormat="4">
  <location ref="G15:H21" firstHeaderRow="1" firstDataRow="1" firstDataCol="1"/>
  <pivotFields count="3">
    <pivotField axis="axisRow"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i>
    <i>
      <x v="2"/>
    </i>
    <i>
      <x v="3"/>
    </i>
    <i>
      <x v="1"/>
    </i>
    <i t="grand">
      <x/>
    </i>
  </rowItems>
  <colItems count="1">
    <i/>
  </colItems>
  <dataFields count="1">
    <dataField name="Sum of اجمالى  القيمة" fld="1" showDataAs="percentOfTotal" baseField="0" baseItem="0" numFmtId="1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category]"/>
        <x15:activeTabTopLevelEntity name="[Supermarke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ED43B2-F75D-40B5-9A1B-847A378953FD}" name="PivotTable1" cacheId="1" applyNumberFormats="0" applyBorderFormats="0" applyFontFormats="0" applyPatternFormats="0" applyAlignmentFormats="0" applyWidthHeightFormats="1" dataCaption="Values" tag="783b936e-0015-4631-8cf8-e1627eb098af" updatedVersion="7" minRefreshableVersion="3" useAutoFormatting="1" subtotalHiddenItems="1" itemPrintTitles="1" createdVersion="7" indent="0" outline="1" outlineData="1" multipleFieldFilters="0" chartFormat="8">
  <location ref="B3:C11" firstHeaderRow="1" firstDataRow="1" firstDataCol="1"/>
  <pivotFields count="3">
    <pivotField axis="axisRow" allDrilled="1" subtotalTop="0" showAll="0" measureFilter="1" sortType="de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3"/>
    </i>
    <i>
      <x v="6"/>
    </i>
    <i>
      <x v="4"/>
    </i>
    <i>
      <x/>
    </i>
    <i>
      <x v="2"/>
    </i>
    <i>
      <x v="5"/>
    </i>
    <i t="grand">
      <x/>
    </i>
  </rowItems>
  <colItems count="1">
    <i/>
  </colItems>
  <dataFields count="1">
    <dataField name="Sum of اجمالى  القيمة" fld="1" baseField="0" baseItem="0"/>
  </dataFields>
  <chartFormats count="1">
    <chartFormat chart="3" format="7"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9">
      <autoFilter ref="A1">
        <filterColumn colId="0">
          <top10 val="7" filterVal="7"/>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category]"/>
        <x15:activeTabTopLevelEntity name="[Supermarket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4B35B45-97DB-41AD-A729-75442F77AB98}" autoFormatId="16" applyNumberFormats="0" applyBorderFormats="0" applyFontFormats="0" applyPatternFormats="0" applyAlignmentFormats="0" applyWidthHeightFormats="0">
  <queryTableRefresh nextId="7">
    <queryTableFields count="6">
      <queryTableField id="1" name="رقم الفاتورة" tableColumnId="1"/>
      <queryTableField id="2" name="التاريخ" tableColumnId="2"/>
      <queryTableField id="3" name="المنتج" tableColumnId="3"/>
      <queryTableField id="4" name="السعر_للواحدة" tableColumnId="4"/>
      <queryTableField id="5" name="الكمية_المباعة" tableColumnId="5"/>
      <queryTableField id="6" name="اجمالى  القيمة" tableColumnId="6"/>
    </queryTableFields>
  </queryTableRefresh>
  <extLst>
    <ext xmlns:x15="http://schemas.microsoft.com/office/spreadsheetml/2010/11/main" uri="{883FBD77-0823-4a55-B5E3-86C4891E6966}">
      <x15:queryTable sourceDataName="Query - Supermarket_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007E9F63-1F24-4D54-A49E-B4C26851D618}" autoFormatId="16" applyNumberFormats="0" applyBorderFormats="0" applyFontFormats="0" applyPatternFormats="0" applyAlignmentFormats="0" applyWidthHeightFormats="0">
  <queryTableRefresh nextId="3">
    <queryTableFields count="2">
      <queryTableField id="1" name="month_no" tableColumnId="1"/>
      <queryTableField id="2" name="month_arabic_name" tableColumnId="2"/>
    </queryTableFields>
  </queryTableRefresh>
  <extLst>
    <ext xmlns:x15="http://schemas.microsoft.com/office/spreadsheetml/2010/11/main" uri="{883FBD77-0823-4a55-B5E3-86C4891E6966}">
      <x15:queryTable sourceDataName="Query - month_name_arabic"/>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5F54344-B4E4-4B15-96D7-048FBE7872E7}" autoFormatId="16" applyNumberFormats="0" applyBorderFormats="0" applyFontFormats="0" applyPatternFormats="0" applyAlignmentFormats="0" applyWidthHeightFormats="0">
  <queryTableRefresh nextId="5">
    <queryTableFields count="4">
      <queryTableField id="1" name="التاريخ" tableColumnId="1"/>
      <queryTableField id="2" name="Month" tableColumnId="2"/>
      <queryTableField id="3" name="التاريخ (Month Index)" tableColumnId="3"/>
      <queryTableField id="4" name="التاريخ (Month)" tableColumnId="4"/>
    </queryTableFields>
  </queryTableRefresh>
  <extLst>
    <ext xmlns:x15="http://schemas.microsoft.com/office/spreadsheetml/2010/11/main" uri="{883FBD77-0823-4a55-B5E3-86C4891E6966}">
      <x15:queryTable sourceDataName="Query - dat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0EBF4E20-49F0-45A1-A686-AD009E692F51}" autoFormatId="16" applyNumberFormats="0" applyBorderFormats="0" applyFontFormats="0" applyPatternFormats="0" applyAlignmentFormats="0" applyWidthHeightFormats="0">
  <queryTableRefresh nextId="5">
    <queryTableFields count="2">
      <queryTableField id="3" name="المنتج" tableColumnId="3"/>
      <queryTableField id="4" name="الفئة" tableColumnId="4"/>
    </queryTableFields>
  </queryTableRefresh>
  <extLst>
    <ext xmlns:x15="http://schemas.microsoft.com/office/spreadsheetml/2010/11/main" uri="{883FBD77-0823-4a55-B5E3-86C4891E6966}">
      <x15:queryTable sourceDataName="Query - product_category"/>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arabic_name" xr10:uid="{60226679-A6D0-4D06-B016-6081CAD7C44F}" sourceName="[month_name_arabic].[month_arabic_name]">
  <pivotTables>
    <pivotTable tabId="1" name="PivotTable1"/>
    <pivotTable tabId="1" name="PivotTable2"/>
    <pivotTable tabId="1" name="PivotTable3"/>
    <pivotTable tabId="1" name="PivotTable4"/>
    <pivotTable tabId="1" name="PivotTable5"/>
    <pivotTable tabId="1" name="PivotTable7"/>
    <pivotTable tabId="1" name="PivotTable9"/>
    <pivotTable tabId="1" name="PivotTable8"/>
    <pivotTable tabId="1" name="PivotTable12"/>
  </pivotTables>
  <data>
    <olap pivotCacheId="1926553528">
      <levels count="2">
        <level uniqueName="[month_name_arabic].[month_arabic_name].[(All)]" sourceCaption="(All)" count="0"/>
        <level uniqueName="[month_name_arabic].[month_arabic_name].[month_arabic_name]" sourceCaption="month_arabic_name" count="12">
          <ranges>
            <range startItem="0">
              <i n="[month_name_arabic].[month_arabic_name].&amp;[يناير]" c="يناير"/>
              <i n="[month_name_arabic].[month_arabic_name].&amp;[فبراير]" c="فبراير"/>
              <i n="[month_name_arabic].[month_arabic_name].&amp;[مارس]" c="مارس"/>
              <i n="[month_name_arabic].[month_arabic_name].&amp;[ابريل]" c="ابريل"/>
              <i n="[month_name_arabic].[month_arabic_name].&amp;[مايو]" c="مايو"/>
              <i n="[month_name_arabic].[month_arabic_name].&amp;[يونيو]" c="يونيو"/>
              <i n="[month_name_arabic].[month_arabic_name].&amp;[يوليو]" c="يوليو" nd="1"/>
              <i n="[month_name_arabic].[month_arabic_name].&amp;[اغسطس]" c="اغسطس" nd="1"/>
              <i n="[month_name_arabic].[month_arabic_name].&amp;[سبتمبر]" c="سبتمبر" nd="1"/>
              <i n="[month_name_arabic].[month_arabic_name].&amp;[اكتوبر]" c="اكتوبر" nd="1"/>
              <i n="[month_name_arabic].[month_arabic_name].&amp;[نوفمبر]" c="نوفمبر" nd="1"/>
              <i n="[month_name_arabic].[month_arabic_name].&amp;[ديسمبر]" c="ديسمبر" nd="1"/>
            </range>
          </ranges>
        </level>
      </levels>
      <selections count="1">
        <selection n="[month_name_arabic].[month_arabic_name].[All]"/>
      </selections>
    </olap>
  </data>
  <extLst>
    <x:ext xmlns:x15="http://schemas.microsoft.com/office/spreadsheetml/2010/11/main" uri="{470722E0-AACD-4C17-9CDC-17EF765DBC7E}">
      <x15:slicerCacheHideItemsWithNoData count="1">
        <x15:slicerCacheOlapLevelName uniqueName="[month_name_arabic].[month_arabic_name].[month_arabic_name]" count="6"/>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فئة" xr10:uid="{C99E119E-5895-4ED4-BC2E-A5B80BA6230F}" sourceName="[product_category].[الفئة]">
  <pivotTables>
    <pivotTable tabId="1" name="PivotTable1"/>
    <pivotTable tabId="1" name="PivotTable2"/>
    <pivotTable tabId="1" name="PivotTable3"/>
    <pivotTable tabId="1" name="PivotTable4"/>
    <pivotTable tabId="1" name="PivotTable5"/>
    <pivotTable tabId="1" name="PivotTable7"/>
    <pivotTable tabId="1" name="PivotTable9"/>
    <pivotTable tabId="1" name="PivotTable12"/>
  </pivotTables>
  <data>
    <olap pivotCacheId="1926553528">
      <levels count="2">
        <level uniqueName="[product_category].[الفئة].[(All)]" sourceCaption="(All)" count="0"/>
        <level uniqueName="[product_category].[الفئة].[الفئة]" sourceCaption="الفئة" count="5">
          <ranges>
            <range startItem="0">
              <i n="[product_category].[الفئة].&amp;[حلويات]" c="حلويات"/>
              <i n="[product_category].[الفئة].&amp;[غذائى]" c="غذائى"/>
              <i n="[product_category].[الفئة].&amp;[مشروبات]" c="مشروبات"/>
              <i n="[product_category].[الفئة].&amp;[منظفات]" c="منظفات"/>
              <i n="[product_category].[الفئة].&amp;[ورقيات]" c="ورقيات"/>
            </range>
          </ranges>
        </level>
      </levels>
      <selections count="1">
        <selection n="[product_category].[الفئة].[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arabic_name" xr10:uid="{3D09BF53-53A4-4AE5-9950-157B83AC4488}" cache="Slicer_month_arabic_name" caption="تصفية بالشهر            " level="1" rowHeight="241300"/>
  <slicer name="الفئة" xr10:uid="{30D4C74D-F197-43C0-B7B2-CDE1C9B1BFBA}" cache="Slicer_الفئة" caption="تصفية بالفئة          "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C98A98-1840-46E0-AD08-C031A0835E35}" name="Supermarket_Data" displayName="Supermarket_Data" ref="A1:F1201" tableType="queryTable" totalsRowShown="0">
  <autoFilter ref="A1:F1201" xr:uid="{43C98A98-1840-46E0-AD08-C031A0835E35}"/>
  <tableColumns count="6">
    <tableColumn id="1" xr3:uid="{42F36F25-6902-401B-932F-EC3AB2C2FC8D}" uniqueName="1" name="رقم الفاتورة" queryTableFieldId="1"/>
    <tableColumn id="2" xr3:uid="{06E1CD22-7CAC-4A40-A206-7405C7720682}" uniqueName="2" name="التاريخ" queryTableFieldId="2" dataDxfId="5"/>
    <tableColumn id="3" xr3:uid="{91890B10-70A0-4B43-8C95-0E827EDC38B3}" uniqueName="3" name="المنتج" queryTableFieldId="3" dataDxfId="4"/>
    <tableColumn id="4" xr3:uid="{81638E2A-551C-430D-9DF3-85E15F17534F}" uniqueName="4" name="السعر_للواحدة" queryTableFieldId="4"/>
    <tableColumn id="5" xr3:uid="{F63A822D-52A6-4295-AD29-F29752939B26}" uniqueName="5" name="الكمية_المباعة" queryTableFieldId="5"/>
    <tableColumn id="6" xr3:uid="{7BE3A9C7-242C-453E-ABDE-7E20447013B9}" uniqueName="6" name="اجمالى  القيمة"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43A41D-DD99-496B-B45D-FF551268CFB6}" name="month_name_arabic" displayName="month_name_arabic" ref="A1:B13" tableType="queryTable" totalsRowShown="0">
  <autoFilter ref="A1:B13" xr:uid="{3B43A41D-DD99-496B-B45D-FF551268CFB6}"/>
  <tableColumns count="2">
    <tableColumn id="1" xr3:uid="{A0385778-A80A-42E7-BD4F-8B62A39C5131}" uniqueName="1" name="month_no" queryTableFieldId="1"/>
    <tableColumn id="2" xr3:uid="{92F03586-2B6E-469B-A306-8F9DEE97B5AC}" uniqueName="2" name="month_arabic_name" queryTableFieldId="2"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7C0166-6E79-456F-8E34-2EBEDE75394D}" name="date" displayName="date" ref="A1:D181" tableType="queryTable" totalsRowShown="0">
  <autoFilter ref="A1:D181" xr:uid="{EE7C0166-6E79-456F-8E34-2EBEDE75394D}"/>
  <tableColumns count="4">
    <tableColumn id="1" xr3:uid="{F505CA3E-6850-40BD-95A6-9F9CCAA0A49B}" uniqueName="1" name="التاريخ" queryTableFieldId="1" dataDxfId="2"/>
    <tableColumn id="2" xr3:uid="{F48A5952-95FC-4BC1-A6EC-5026912ED60B}" uniqueName="2" name="Month" queryTableFieldId="2"/>
    <tableColumn id="3" xr3:uid="{193EDF04-F3F8-41A3-9403-2D9BC56E6088}" uniqueName="3" name="التاريخ (Month Index)" queryTableFieldId="3"/>
    <tableColumn id="4" xr3:uid="{F2330506-34FD-4A90-AE94-2091690C7B8F}" uniqueName="4" name="التاريخ (Month)"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B2D8AD-7905-446D-91F4-7D023A22414D}" name="product_category" displayName="product_category" ref="A1:B26" tableType="queryTable" totalsRowShown="0">
  <autoFilter ref="A1:B26" xr:uid="{D6B2D8AD-7905-446D-91F4-7D023A22414D}"/>
  <tableColumns count="2">
    <tableColumn id="3" xr3:uid="{537F4C2A-867E-463C-A1E0-323A5141350E}" uniqueName="3" name="المنتج" queryTableFieldId="3" dataDxfId="1"/>
    <tableColumn id="4" xr3:uid="{B06ADCF5-3CC9-4277-ACB2-5F42F8087014}" uniqueName="4" name="الفئة"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7F5E3-12D4-43BF-B14A-8252CE133B2D}">
  <dimension ref="A1:F1201"/>
  <sheetViews>
    <sheetView workbookViewId="0">
      <selection sqref="A1:F1201"/>
    </sheetView>
  </sheetViews>
  <sheetFormatPr defaultRowHeight="15" x14ac:dyDescent="0.25"/>
  <cols>
    <col min="1" max="1" width="9.140625" bestFit="1" customWidth="1"/>
    <col min="2" max="2" width="8.42578125" bestFit="1" customWidth="1"/>
    <col min="3" max="3" width="11.85546875" bestFit="1" customWidth="1"/>
    <col min="4" max="4" width="12.28515625" bestFit="1" customWidth="1"/>
    <col min="5" max="5" width="11.7109375" bestFit="1" customWidth="1"/>
    <col min="6" max="6" width="11.28515625" bestFit="1" customWidth="1"/>
  </cols>
  <sheetData>
    <row r="1" spans="1:6" x14ac:dyDescent="0.25">
      <c r="A1" t="s">
        <v>1</v>
      </c>
      <c r="B1" t="s">
        <v>2</v>
      </c>
      <c r="C1" t="s">
        <v>3</v>
      </c>
      <c r="D1" t="s">
        <v>4</v>
      </c>
      <c r="E1" t="s">
        <v>5</v>
      </c>
      <c r="F1" t="s">
        <v>40</v>
      </c>
    </row>
    <row r="2" spans="1:6" x14ac:dyDescent="0.25">
      <c r="A2">
        <v>1</v>
      </c>
      <c r="B2" s="1">
        <v>45762</v>
      </c>
      <c r="C2" s="2" t="s">
        <v>6</v>
      </c>
      <c r="D2">
        <v>51.86</v>
      </c>
      <c r="E2">
        <v>147</v>
      </c>
      <c r="F2">
        <v>7623.42</v>
      </c>
    </row>
    <row r="3" spans="1:6" x14ac:dyDescent="0.25">
      <c r="A3">
        <v>2</v>
      </c>
      <c r="B3" s="1">
        <v>45658</v>
      </c>
      <c r="C3" s="2" t="s">
        <v>7</v>
      </c>
      <c r="D3">
        <v>7.74</v>
      </c>
      <c r="E3">
        <v>71</v>
      </c>
      <c r="F3">
        <v>549.54</v>
      </c>
    </row>
    <row r="4" spans="1:6" x14ac:dyDescent="0.25">
      <c r="A4">
        <v>3</v>
      </c>
      <c r="B4" s="1">
        <v>45746</v>
      </c>
      <c r="C4" s="2" t="s">
        <v>8</v>
      </c>
      <c r="D4">
        <v>67.97</v>
      </c>
      <c r="E4">
        <v>225</v>
      </c>
      <c r="F4">
        <v>15293.25</v>
      </c>
    </row>
    <row r="5" spans="1:6" x14ac:dyDescent="0.25">
      <c r="A5">
        <v>4</v>
      </c>
      <c r="B5" s="1">
        <v>45667</v>
      </c>
      <c r="C5" s="2" t="s">
        <v>9</v>
      </c>
      <c r="D5">
        <v>9.0299999999999994</v>
      </c>
      <c r="E5">
        <v>102</v>
      </c>
      <c r="F5">
        <v>921.06</v>
      </c>
    </row>
    <row r="6" spans="1:6" x14ac:dyDescent="0.25">
      <c r="A6">
        <v>5</v>
      </c>
      <c r="B6" s="1">
        <v>45709</v>
      </c>
      <c r="C6" s="2" t="s">
        <v>10</v>
      </c>
      <c r="D6">
        <v>73.14</v>
      </c>
      <c r="E6">
        <v>216</v>
      </c>
      <c r="F6">
        <v>15798.24</v>
      </c>
    </row>
    <row r="7" spans="1:6" x14ac:dyDescent="0.25">
      <c r="A7">
        <v>6</v>
      </c>
      <c r="B7" s="1">
        <v>45717</v>
      </c>
      <c r="C7" s="2" t="s">
        <v>11</v>
      </c>
      <c r="D7">
        <v>88.31</v>
      </c>
      <c r="E7">
        <v>133</v>
      </c>
      <c r="F7">
        <v>11745.23</v>
      </c>
    </row>
    <row r="8" spans="1:6" x14ac:dyDescent="0.25">
      <c r="A8">
        <v>7</v>
      </c>
      <c r="B8" s="1">
        <v>45691</v>
      </c>
      <c r="C8" s="2" t="s">
        <v>12</v>
      </c>
      <c r="D8">
        <v>101.43</v>
      </c>
      <c r="E8">
        <v>84</v>
      </c>
      <c r="F8">
        <v>8520.1200000000008</v>
      </c>
    </row>
    <row r="9" spans="1:6" x14ac:dyDescent="0.25">
      <c r="A9">
        <v>8</v>
      </c>
      <c r="B9" s="1">
        <v>45806</v>
      </c>
      <c r="C9" s="2" t="s">
        <v>13</v>
      </c>
      <c r="D9">
        <v>89.34</v>
      </c>
      <c r="E9">
        <v>157</v>
      </c>
      <c r="F9">
        <v>14026.380000000001</v>
      </c>
    </row>
    <row r="10" spans="1:6" x14ac:dyDescent="0.25">
      <c r="A10">
        <v>9</v>
      </c>
      <c r="B10" s="1">
        <v>45791</v>
      </c>
      <c r="C10" s="2" t="s">
        <v>14</v>
      </c>
      <c r="D10">
        <v>29.49</v>
      </c>
      <c r="E10">
        <v>75</v>
      </c>
      <c r="F10">
        <v>2211.75</v>
      </c>
    </row>
    <row r="11" spans="1:6" x14ac:dyDescent="0.25">
      <c r="A11">
        <v>10</v>
      </c>
      <c r="B11" s="1">
        <v>45794</v>
      </c>
      <c r="C11" s="2" t="s">
        <v>15</v>
      </c>
      <c r="D11">
        <v>126.94</v>
      </c>
      <c r="E11">
        <v>82</v>
      </c>
      <c r="F11">
        <v>10409.08</v>
      </c>
    </row>
    <row r="12" spans="1:6" x14ac:dyDescent="0.25">
      <c r="A12">
        <v>11</v>
      </c>
      <c r="B12" s="1">
        <v>45672</v>
      </c>
      <c r="C12" s="2" t="s">
        <v>16</v>
      </c>
      <c r="D12">
        <v>42.41</v>
      </c>
      <c r="E12">
        <v>130</v>
      </c>
      <c r="F12">
        <v>5513.2999999999993</v>
      </c>
    </row>
    <row r="13" spans="1:6" x14ac:dyDescent="0.25">
      <c r="A13">
        <v>12</v>
      </c>
      <c r="B13" s="1">
        <v>45824</v>
      </c>
      <c r="C13" s="2" t="s">
        <v>17</v>
      </c>
      <c r="D13">
        <v>16.89</v>
      </c>
      <c r="E13">
        <v>220</v>
      </c>
      <c r="F13">
        <v>3715.8</v>
      </c>
    </row>
    <row r="14" spans="1:6" x14ac:dyDescent="0.25">
      <c r="A14">
        <v>13</v>
      </c>
      <c r="B14" s="1">
        <v>45747</v>
      </c>
      <c r="C14" s="2" t="s">
        <v>11</v>
      </c>
      <c r="D14">
        <v>56.6</v>
      </c>
      <c r="E14">
        <v>81</v>
      </c>
      <c r="F14">
        <v>4584.6000000000004</v>
      </c>
    </row>
    <row r="15" spans="1:6" x14ac:dyDescent="0.25">
      <c r="A15">
        <v>14</v>
      </c>
      <c r="B15" s="1">
        <v>45794</v>
      </c>
      <c r="C15" s="2" t="s">
        <v>16</v>
      </c>
      <c r="D15">
        <v>34.47</v>
      </c>
      <c r="E15">
        <v>91</v>
      </c>
      <c r="F15">
        <v>3136.77</v>
      </c>
    </row>
    <row r="16" spans="1:6" x14ac:dyDescent="0.25">
      <c r="A16">
        <v>15</v>
      </c>
      <c r="B16" s="1">
        <v>45672</v>
      </c>
      <c r="C16" s="2" t="s">
        <v>18</v>
      </c>
      <c r="D16">
        <v>90.74</v>
      </c>
      <c r="E16">
        <v>137</v>
      </c>
      <c r="F16">
        <v>12431.38</v>
      </c>
    </row>
    <row r="17" spans="1:6" x14ac:dyDescent="0.25">
      <c r="A17">
        <v>16</v>
      </c>
      <c r="B17" s="1">
        <v>45702</v>
      </c>
      <c r="C17" s="2" t="s">
        <v>7</v>
      </c>
      <c r="D17">
        <v>9.26</v>
      </c>
      <c r="E17">
        <v>72</v>
      </c>
      <c r="F17">
        <v>666.72</v>
      </c>
    </row>
    <row r="18" spans="1:6" x14ac:dyDescent="0.25">
      <c r="A18">
        <v>17</v>
      </c>
      <c r="B18" s="1">
        <v>45790</v>
      </c>
      <c r="C18" s="2" t="s">
        <v>7</v>
      </c>
      <c r="D18">
        <v>24.01</v>
      </c>
      <c r="E18">
        <v>226</v>
      </c>
      <c r="F18">
        <v>5426.26</v>
      </c>
    </row>
    <row r="19" spans="1:6" x14ac:dyDescent="0.25">
      <c r="A19">
        <v>18</v>
      </c>
      <c r="B19" s="1">
        <v>45812</v>
      </c>
      <c r="C19" s="2" t="s">
        <v>11</v>
      </c>
      <c r="D19">
        <v>86.44</v>
      </c>
      <c r="E19">
        <v>135</v>
      </c>
      <c r="F19">
        <v>11669.4</v>
      </c>
    </row>
    <row r="20" spans="1:6" x14ac:dyDescent="0.25">
      <c r="A20">
        <v>19</v>
      </c>
      <c r="B20" s="1">
        <v>45721</v>
      </c>
      <c r="C20" s="2" t="s">
        <v>19</v>
      </c>
      <c r="D20">
        <v>80.08</v>
      </c>
      <c r="E20">
        <v>193</v>
      </c>
      <c r="F20">
        <v>15455.44</v>
      </c>
    </row>
    <row r="21" spans="1:6" x14ac:dyDescent="0.25">
      <c r="A21">
        <v>20</v>
      </c>
      <c r="B21" s="1">
        <v>45696</v>
      </c>
      <c r="C21" s="2" t="s">
        <v>20</v>
      </c>
      <c r="D21">
        <v>6.25</v>
      </c>
      <c r="E21">
        <v>223</v>
      </c>
      <c r="F21">
        <v>1393.75</v>
      </c>
    </row>
    <row r="22" spans="1:6" x14ac:dyDescent="0.25">
      <c r="A22">
        <v>21</v>
      </c>
      <c r="B22" s="1">
        <v>45748</v>
      </c>
      <c r="C22" s="2" t="s">
        <v>21</v>
      </c>
      <c r="D22">
        <v>44.9</v>
      </c>
      <c r="E22">
        <v>212</v>
      </c>
      <c r="F22">
        <v>9518.7999999999993</v>
      </c>
    </row>
    <row r="23" spans="1:6" x14ac:dyDescent="0.25">
      <c r="A23">
        <v>22</v>
      </c>
      <c r="B23" s="1">
        <v>45764</v>
      </c>
      <c r="C23" s="2" t="s">
        <v>12</v>
      </c>
      <c r="D23">
        <v>13.53</v>
      </c>
      <c r="E23">
        <v>107</v>
      </c>
      <c r="F23">
        <v>1447.71</v>
      </c>
    </row>
    <row r="24" spans="1:6" x14ac:dyDescent="0.25">
      <c r="A24">
        <v>23</v>
      </c>
      <c r="B24" s="1">
        <v>45820</v>
      </c>
      <c r="C24" s="2" t="s">
        <v>6</v>
      </c>
      <c r="D24">
        <v>110.47</v>
      </c>
      <c r="E24">
        <v>149</v>
      </c>
      <c r="F24">
        <v>16460.03</v>
      </c>
    </row>
    <row r="25" spans="1:6" x14ac:dyDescent="0.25">
      <c r="A25">
        <v>24</v>
      </c>
      <c r="B25" s="1">
        <v>45722</v>
      </c>
      <c r="C25" s="2" t="s">
        <v>22</v>
      </c>
      <c r="D25">
        <v>89.56</v>
      </c>
      <c r="E25">
        <v>111</v>
      </c>
      <c r="F25">
        <v>9941.16</v>
      </c>
    </row>
    <row r="26" spans="1:6" x14ac:dyDescent="0.25">
      <c r="A26">
        <v>25</v>
      </c>
      <c r="B26" s="1">
        <v>45734</v>
      </c>
      <c r="C26" s="2" t="s">
        <v>23</v>
      </c>
      <c r="D26">
        <v>67</v>
      </c>
      <c r="E26">
        <v>280</v>
      </c>
      <c r="F26">
        <v>18760</v>
      </c>
    </row>
    <row r="27" spans="1:6" x14ac:dyDescent="0.25">
      <c r="A27">
        <v>26</v>
      </c>
      <c r="B27" s="1">
        <v>45719</v>
      </c>
      <c r="C27" s="2" t="s">
        <v>18</v>
      </c>
      <c r="D27">
        <v>23.61</v>
      </c>
      <c r="E27">
        <v>88</v>
      </c>
      <c r="F27">
        <v>2077.6799999999998</v>
      </c>
    </row>
    <row r="28" spans="1:6" x14ac:dyDescent="0.25">
      <c r="A28">
        <v>27</v>
      </c>
      <c r="B28" s="1">
        <v>45748</v>
      </c>
      <c r="C28" s="2" t="s">
        <v>24</v>
      </c>
      <c r="D28">
        <v>76.89</v>
      </c>
      <c r="E28">
        <v>199</v>
      </c>
      <c r="F28">
        <v>15301.11</v>
      </c>
    </row>
    <row r="29" spans="1:6" x14ac:dyDescent="0.25">
      <c r="A29">
        <v>28</v>
      </c>
      <c r="B29" s="1">
        <v>45664</v>
      </c>
      <c r="C29" s="2" t="s">
        <v>25</v>
      </c>
      <c r="D29">
        <v>88.03</v>
      </c>
      <c r="E29">
        <v>127</v>
      </c>
      <c r="F29">
        <v>11179.81</v>
      </c>
    </row>
    <row r="30" spans="1:6" x14ac:dyDescent="0.25">
      <c r="A30">
        <v>29</v>
      </c>
      <c r="B30" s="1">
        <v>45670</v>
      </c>
      <c r="C30" s="2" t="s">
        <v>10</v>
      </c>
      <c r="D30">
        <v>57.62</v>
      </c>
      <c r="E30">
        <v>48</v>
      </c>
      <c r="F30">
        <v>2765.7599999999998</v>
      </c>
    </row>
    <row r="31" spans="1:6" x14ac:dyDescent="0.25">
      <c r="A31">
        <v>30</v>
      </c>
      <c r="B31" s="1">
        <v>45731</v>
      </c>
      <c r="C31" s="2" t="s">
        <v>26</v>
      </c>
      <c r="D31">
        <v>29.1</v>
      </c>
      <c r="E31">
        <v>149</v>
      </c>
      <c r="F31">
        <v>4335.9000000000005</v>
      </c>
    </row>
    <row r="32" spans="1:6" x14ac:dyDescent="0.25">
      <c r="A32">
        <v>31</v>
      </c>
      <c r="B32" s="1">
        <v>45789</v>
      </c>
      <c r="C32" s="2" t="s">
        <v>27</v>
      </c>
      <c r="D32">
        <v>22.19</v>
      </c>
      <c r="E32">
        <v>186</v>
      </c>
      <c r="F32">
        <v>4127.34</v>
      </c>
    </row>
    <row r="33" spans="1:6" x14ac:dyDescent="0.25">
      <c r="A33">
        <v>32</v>
      </c>
      <c r="B33" s="1">
        <v>45678</v>
      </c>
      <c r="C33" s="2" t="s">
        <v>28</v>
      </c>
      <c r="D33">
        <v>56.94</v>
      </c>
      <c r="E33">
        <v>121</v>
      </c>
      <c r="F33">
        <v>6889.74</v>
      </c>
    </row>
    <row r="34" spans="1:6" x14ac:dyDescent="0.25">
      <c r="A34">
        <v>33</v>
      </c>
      <c r="B34" s="1">
        <v>45758</v>
      </c>
      <c r="C34" s="2" t="s">
        <v>29</v>
      </c>
      <c r="D34">
        <v>59.42</v>
      </c>
      <c r="E34">
        <v>116</v>
      </c>
      <c r="F34">
        <v>6892.72</v>
      </c>
    </row>
    <row r="35" spans="1:6" x14ac:dyDescent="0.25">
      <c r="A35">
        <v>34</v>
      </c>
      <c r="B35" s="1">
        <v>45718</v>
      </c>
      <c r="C35" s="2" t="s">
        <v>8</v>
      </c>
      <c r="D35">
        <v>50.76</v>
      </c>
      <c r="E35">
        <v>119</v>
      </c>
      <c r="F35">
        <v>6040.44</v>
      </c>
    </row>
    <row r="36" spans="1:6" x14ac:dyDescent="0.25">
      <c r="A36">
        <v>35</v>
      </c>
      <c r="B36" s="1">
        <v>45746</v>
      </c>
      <c r="C36" s="2" t="s">
        <v>8</v>
      </c>
      <c r="D36">
        <v>88.51</v>
      </c>
      <c r="E36">
        <v>93</v>
      </c>
      <c r="F36">
        <v>8231.43</v>
      </c>
    </row>
    <row r="37" spans="1:6" x14ac:dyDescent="0.25">
      <c r="A37">
        <v>36</v>
      </c>
      <c r="B37" s="1">
        <v>45684</v>
      </c>
      <c r="C37" s="2" t="s">
        <v>20</v>
      </c>
      <c r="D37">
        <v>82.96</v>
      </c>
      <c r="E37">
        <v>30</v>
      </c>
      <c r="F37">
        <v>2488.7999999999997</v>
      </c>
    </row>
    <row r="38" spans="1:6" x14ac:dyDescent="0.25">
      <c r="A38">
        <v>37</v>
      </c>
      <c r="B38" s="1">
        <v>45797</v>
      </c>
      <c r="C38" s="2" t="s">
        <v>28</v>
      </c>
      <c r="D38">
        <v>65.459999999999994</v>
      </c>
      <c r="E38">
        <v>195</v>
      </c>
      <c r="F38">
        <v>12764.699999999999</v>
      </c>
    </row>
    <row r="39" spans="1:6" x14ac:dyDescent="0.25">
      <c r="A39">
        <v>38</v>
      </c>
      <c r="B39" s="1">
        <v>45810</v>
      </c>
      <c r="C39" s="2" t="s">
        <v>25</v>
      </c>
      <c r="D39">
        <v>69.010000000000005</v>
      </c>
      <c r="E39">
        <v>76</v>
      </c>
      <c r="F39">
        <v>5244.76</v>
      </c>
    </row>
    <row r="40" spans="1:6" x14ac:dyDescent="0.25">
      <c r="A40">
        <v>39</v>
      </c>
      <c r="B40" s="1">
        <v>45660</v>
      </c>
      <c r="C40" s="2" t="s">
        <v>17</v>
      </c>
      <c r="D40">
        <v>72.55</v>
      </c>
      <c r="E40">
        <v>70</v>
      </c>
      <c r="F40">
        <v>5078.5</v>
      </c>
    </row>
    <row r="41" spans="1:6" x14ac:dyDescent="0.25">
      <c r="A41">
        <v>40</v>
      </c>
      <c r="B41" s="1">
        <v>45724</v>
      </c>
      <c r="C41" s="2" t="s">
        <v>26</v>
      </c>
      <c r="D41">
        <v>74.28</v>
      </c>
      <c r="E41">
        <v>151</v>
      </c>
      <c r="F41">
        <v>11216.28</v>
      </c>
    </row>
    <row r="42" spans="1:6" x14ac:dyDescent="0.25">
      <c r="A42">
        <v>41</v>
      </c>
      <c r="B42" s="1">
        <v>45836</v>
      </c>
      <c r="C42" s="2" t="s">
        <v>18</v>
      </c>
      <c r="D42">
        <v>92.16</v>
      </c>
      <c r="E42">
        <v>37</v>
      </c>
      <c r="F42">
        <v>3409.92</v>
      </c>
    </row>
    <row r="43" spans="1:6" x14ac:dyDescent="0.25">
      <c r="A43">
        <v>42</v>
      </c>
      <c r="B43" s="1">
        <v>45725</v>
      </c>
      <c r="C43" s="2" t="s">
        <v>28</v>
      </c>
      <c r="D43">
        <v>26.6</v>
      </c>
      <c r="E43">
        <v>83</v>
      </c>
      <c r="F43">
        <v>2207.8000000000002</v>
      </c>
    </row>
    <row r="44" spans="1:6" x14ac:dyDescent="0.25">
      <c r="A44">
        <v>43</v>
      </c>
      <c r="B44" s="1">
        <v>45658</v>
      </c>
      <c r="C44" s="2" t="s">
        <v>27</v>
      </c>
      <c r="D44">
        <v>33.15</v>
      </c>
      <c r="E44">
        <v>229</v>
      </c>
      <c r="F44">
        <v>7591.3499999999995</v>
      </c>
    </row>
    <row r="45" spans="1:6" x14ac:dyDescent="0.25">
      <c r="A45">
        <v>44</v>
      </c>
      <c r="B45" s="1">
        <v>45663</v>
      </c>
      <c r="C45" s="2" t="s">
        <v>25</v>
      </c>
      <c r="D45">
        <v>17.86</v>
      </c>
      <c r="E45">
        <v>27</v>
      </c>
      <c r="F45">
        <v>482.21999999999997</v>
      </c>
    </row>
    <row r="46" spans="1:6" x14ac:dyDescent="0.25">
      <c r="A46">
        <v>45</v>
      </c>
      <c r="B46" s="1">
        <v>45674</v>
      </c>
      <c r="C46" s="2" t="s">
        <v>7</v>
      </c>
      <c r="D46">
        <v>82.79</v>
      </c>
      <c r="E46">
        <v>85</v>
      </c>
      <c r="F46">
        <v>7037.1500000000005</v>
      </c>
    </row>
    <row r="47" spans="1:6" x14ac:dyDescent="0.25">
      <c r="A47">
        <v>46</v>
      </c>
      <c r="B47" s="1">
        <v>45826</v>
      </c>
      <c r="C47" s="2" t="s">
        <v>17</v>
      </c>
      <c r="D47">
        <v>5.12</v>
      </c>
      <c r="E47">
        <v>40</v>
      </c>
      <c r="F47">
        <v>204.8</v>
      </c>
    </row>
    <row r="48" spans="1:6" x14ac:dyDescent="0.25">
      <c r="A48">
        <v>47</v>
      </c>
      <c r="B48" s="1">
        <v>45700</v>
      </c>
      <c r="C48" s="2" t="s">
        <v>16</v>
      </c>
      <c r="D48">
        <v>31.95</v>
      </c>
      <c r="E48">
        <v>153</v>
      </c>
      <c r="F48">
        <v>4888.3499999999995</v>
      </c>
    </row>
    <row r="49" spans="1:6" x14ac:dyDescent="0.25">
      <c r="A49">
        <v>48</v>
      </c>
      <c r="B49" s="1">
        <v>45745</v>
      </c>
      <c r="C49" s="2" t="s">
        <v>11</v>
      </c>
      <c r="D49">
        <v>60.7</v>
      </c>
      <c r="E49">
        <v>171</v>
      </c>
      <c r="F49">
        <v>10379.700000000001</v>
      </c>
    </row>
    <row r="50" spans="1:6" x14ac:dyDescent="0.25">
      <c r="A50">
        <v>49</v>
      </c>
      <c r="B50" s="1">
        <v>45826</v>
      </c>
      <c r="C50" s="2" t="s">
        <v>12</v>
      </c>
      <c r="D50">
        <v>14.07</v>
      </c>
      <c r="E50">
        <v>73</v>
      </c>
      <c r="F50">
        <v>1027.1100000000001</v>
      </c>
    </row>
    <row r="51" spans="1:6" x14ac:dyDescent="0.25">
      <c r="A51">
        <v>50</v>
      </c>
      <c r="B51" s="1">
        <v>45731</v>
      </c>
      <c r="C51" s="2" t="s">
        <v>21</v>
      </c>
      <c r="D51">
        <v>67.94</v>
      </c>
      <c r="E51">
        <v>167</v>
      </c>
      <c r="F51">
        <v>11345.98</v>
      </c>
    </row>
    <row r="52" spans="1:6" x14ac:dyDescent="0.25">
      <c r="A52">
        <v>51</v>
      </c>
      <c r="B52" s="1">
        <v>45833</v>
      </c>
      <c r="C52" s="2" t="s">
        <v>16</v>
      </c>
      <c r="D52">
        <v>91.97</v>
      </c>
      <c r="E52">
        <v>85</v>
      </c>
      <c r="F52">
        <v>7817.45</v>
      </c>
    </row>
    <row r="53" spans="1:6" x14ac:dyDescent="0.25">
      <c r="A53">
        <v>52</v>
      </c>
      <c r="B53" s="1">
        <v>45729</v>
      </c>
      <c r="C53" s="2" t="s">
        <v>14</v>
      </c>
      <c r="D53">
        <v>21.65</v>
      </c>
      <c r="E53">
        <v>31</v>
      </c>
      <c r="F53">
        <v>671.15</v>
      </c>
    </row>
    <row r="54" spans="1:6" x14ac:dyDescent="0.25">
      <c r="A54">
        <v>53</v>
      </c>
      <c r="B54" s="1">
        <v>45701</v>
      </c>
      <c r="C54" s="2" t="s">
        <v>30</v>
      </c>
      <c r="D54">
        <v>62.7</v>
      </c>
      <c r="E54">
        <v>126</v>
      </c>
      <c r="F54">
        <v>7900.2000000000007</v>
      </c>
    </row>
    <row r="55" spans="1:6" x14ac:dyDescent="0.25">
      <c r="A55">
        <v>54</v>
      </c>
      <c r="B55" s="1">
        <v>45670</v>
      </c>
      <c r="C55" s="2" t="s">
        <v>10</v>
      </c>
      <c r="D55">
        <v>134.94999999999999</v>
      </c>
      <c r="E55">
        <v>108</v>
      </c>
      <c r="F55">
        <v>14574.599999999999</v>
      </c>
    </row>
    <row r="56" spans="1:6" x14ac:dyDescent="0.25">
      <c r="A56">
        <v>55</v>
      </c>
      <c r="B56" s="1">
        <v>45661</v>
      </c>
      <c r="C56" s="2" t="s">
        <v>22</v>
      </c>
      <c r="D56">
        <v>125.93</v>
      </c>
      <c r="E56">
        <v>62</v>
      </c>
      <c r="F56">
        <v>7807.6600000000008</v>
      </c>
    </row>
    <row r="57" spans="1:6" x14ac:dyDescent="0.25">
      <c r="A57">
        <v>56</v>
      </c>
      <c r="B57" s="1">
        <v>45814</v>
      </c>
      <c r="C57" s="2" t="s">
        <v>18</v>
      </c>
      <c r="D57">
        <v>122.14</v>
      </c>
      <c r="E57">
        <v>62</v>
      </c>
      <c r="F57">
        <v>7572.68</v>
      </c>
    </row>
    <row r="58" spans="1:6" x14ac:dyDescent="0.25">
      <c r="A58">
        <v>57</v>
      </c>
      <c r="B58" s="1">
        <v>45791</v>
      </c>
      <c r="C58" s="2" t="s">
        <v>11</v>
      </c>
      <c r="D58">
        <v>116.26</v>
      </c>
      <c r="E58">
        <v>118</v>
      </c>
      <c r="F58">
        <v>13718.68</v>
      </c>
    </row>
    <row r="59" spans="1:6" x14ac:dyDescent="0.25">
      <c r="A59">
        <v>58</v>
      </c>
      <c r="B59" s="1">
        <v>45694</v>
      </c>
      <c r="C59" s="2" t="s">
        <v>17</v>
      </c>
      <c r="D59">
        <v>30.29</v>
      </c>
      <c r="E59">
        <v>128</v>
      </c>
      <c r="F59">
        <v>3877.12</v>
      </c>
    </row>
    <row r="60" spans="1:6" x14ac:dyDescent="0.25">
      <c r="A60">
        <v>59</v>
      </c>
      <c r="B60" s="1">
        <v>45817</v>
      </c>
      <c r="C60" s="2" t="s">
        <v>15</v>
      </c>
      <c r="D60">
        <v>110.15</v>
      </c>
      <c r="E60">
        <v>80</v>
      </c>
      <c r="F60">
        <v>8812</v>
      </c>
    </row>
    <row r="61" spans="1:6" x14ac:dyDescent="0.25">
      <c r="A61">
        <v>60</v>
      </c>
      <c r="B61" s="1">
        <v>45783</v>
      </c>
      <c r="C61" s="2" t="s">
        <v>21</v>
      </c>
      <c r="D61">
        <v>65.75</v>
      </c>
      <c r="E61">
        <v>32</v>
      </c>
      <c r="F61">
        <v>2104</v>
      </c>
    </row>
    <row r="62" spans="1:6" x14ac:dyDescent="0.25">
      <c r="A62">
        <v>61</v>
      </c>
      <c r="B62" s="1">
        <v>45748</v>
      </c>
      <c r="C62" s="2" t="s">
        <v>22</v>
      </c>
      <c r="D62">
        <v>19.03</v>
      </c>
      <c r="E62">
        <v>258</v>
      </c>
      <c r="F62">
        <v>4909.7400000000007</v>
      </c>
    </row>
    <row r="63" spans="1:6" x14ac:dyDescent="0.25">
      <c r="A63">
        <v>62</v>
      </c>
      <c r="B63" s="1">
        <v>45827</v>
      </c>
      <c r="C63" s="2" t="s">
        <v>15</v>
      </c>
      <c r="D63">
        <v>7.18</v>
      </c>
      <c r="E63">
        <v>138</v>
      </c>
      <c r="F63">
        <v>990.83999999999992</v>
      </c>
    </row>
    <row r="64" spans="1:6" x14ac:dyDescent="0.25">
      <c r="A64">
        <v>63</v>
      </c>
      <c r="B64" s="1">
        <v>45767</v>
      </c>
      <c r="C64" s="2" t="s">
        <v>7</v>
      </c>
      <c r="D64">
        <v>137.53</v>
      </c>
      <c r="E64">
        <v>22</v>
      </c>
      <c r="F64">
        <v>3025.66</v>
      </c>
    </row>
    <row r="65" spans="1:6" x14ac:dyDescent="0.25">
      <c r="A65">
        <v>64</v>
      </c>
      <c r="B65" s="1">
        <v>45807</v>
      </c>
      <c r="C65" s="2" t="s">
        <v>28</v>
      </c>
      <c r="D65">
        <v>106.97</v>
      </c>
      <c r="E65">
        <v>90</v>
      </c>
      <c r="F65">
        <v>9627.2999999999993</v>
      </c>
    </row>
    <row r="66" spans="1:6" x14ac:dyDescent="0.25">
      <c r="A66">
        <v>65</v>
      </c>
      <c r="B66" s="1">
        <v>45829</v>
      </c>
      <c r="C66" s="2" t="s">
        <v>13</v>
      </c>
      <c r="D66">
        <v>55.44</v>
      </c>
      <c r="E66">
        <v>260</v>
      </c>
      <c r="F66">
        <v>14414.4</v>
      </c>
    </row>
    <row r="67" spans="1:6" x14ac:dyDescent="0.25">
      <c r="A67">
        <v>66</v>
      </c>
      <c r="B67" s="1">
        <v>45821</v>
      </c>
      <c r="C67" s="2" t="s">
        <v>22</v>
      </c>
      <c r="D67">
        <v>80.52</v>
      </c>
      <c r="E67">
        <v>141</v>
      </c>
      <c r="F67">
        <v>11353.32</v>
      </c>
    </row>
    <row r="68" spans="1:6" x14ac:dyDescent="0.25">
      <c r="A68">
        <v>67</v>
      </c>
      <c r="B68" s="1">
        <v>45776</v>
      </c>
      <c r="C68" s="2" t="s">
        <v>27</v>
      </c>
      <c r="D68">
        <v>67.430000000000007</v>
      </c>
      <c r="E68">
        <v>58</v>
      </c>
      <c r="F68">
        <v>3910.9400000000005</v>
      </c>
    </row>
    <row r="69" spans="1:6" x14ac:dyDescent="0.25">
      <c r="A69">
        <v>68</v>
      </c>
      <c r="B69" s="1">
        <v>45836</v>
      </c>
      <c r="C69" s="2" t="s">
        <v>7</v>
      </c>
      <c r="D69">
        <v>129.75</v>
      </c>
      <c r="E69">
        <v>95</v>
      </c>
      <c r="F69">
        <v>12326.25</v>
      </c>
    </row>
    <row r="70" spans="1:6" x14ac:dyDescent="0.25">
      <c r="A70">
        <v>69</v>
      </c>
      <c r="B70" s="1">
        <v>45744</v>
      </c>
      <c r="C70" s="2" t="s">
        <v>18</v>
      </c>
      <c r="D70">
        <v>24.76</v>
      </c>
      <c r="E70">
        <v>55</v>
      </c>
      <c r="F70">
        <v>1361.8000000000002</v>
      </c>
    </row>
    <row r="71" spans="1:6" x14ac:dyDescent="0.25">
      <c r="A71">
        <v>70</v>
      </c>
      <c r="B71" s="1">
        <v>45747</v>
      </c>
      <c r="C71" s="2" t="s">
        <v>12</v>
      </c>
      <c r="D71">
        <v>68.819999999999993</v>
      </c>
      <c r="E71">
        <v>89</v>
      </c>
      <c r="F71">
        <v>6124.98</v>
      </c>
    </row>
    <row r="72" spans="1:6" x14ac:dyDescent="0.25">
      <c r="A72">
        <v>71</v>
      </c>
      <c r="B72" s="1">
        <v>45767</v>
      </c>
      <c r="C72" s="2" t="s">
        <v>24</v>
      </c>
      <c r="D72">
        <v>85.26</v>
      </c>
      <c r="E72">
        <v>166</v>
      </c>
      <c r="F72">
        <v>14153.160000000002</v>
      </c>
    </row>
    <row r="73" spans="1:6" x14ac:dyDescent="0.25">
      <c r="A73">
        <v>72</v>
      </c>
      <c r="B73" s="1">
        <v>45701</v>
      </c>
      <c r="C73" s="2" t="s">
        <v>8</v>
      </c>
      <c r="D73">
        <v>95.34</v>
      </c>
      <c r="E73">
        <v>89</v>
      </c>
      <c r="F73">
        <v>8485.26</v>
      </c>
    </row>
    <row r="74" spans="1:6" x14ac:dyDescent="0.25">
      <c r="A74">
        <v>73</v>
      </c>
      <c r="B74" s="1">
        <v>45704</v>
      </c>
      <c r="C74" s="2" t="s">
        <v>8</v>
      </c>
      <c r="D74">
        <v>17.62</v>
      </c>
      <c r="E74">
        <v>46</v>
      </c>
      <c r="F74">
        <v>810.5200000000001</v>
      </c>
    </row>
    <row r="75" spans="1:6" x14ac:dyDescent="0.25">
      <c r="A75">
        <v>74</v>
      </c>
      <c r="B75" s="1">
        <v>45758</v>
      </c>
      <c r="C75" s="2" t="s">
        <v>16</v>
      </c>
      <c r="D75">
        <v>62.26</v>
      </c>
      <c r="E75">
        <v>36</v>
      </c>
      <c r="F75">
        <v>2241.36</v>
      </c>
    </row>
    <row r="76" spans="1:6" x14ac:dyDescent="0.25">
      <c r="A76">
        <v>75</v>
      </c>
      <c r="B76" s="1">
        <v>45709</v>
      </c>
      <c r="C76" s="2" t="s">
        <v>20</v>
      </c>
      <c r="D76">
        <v>15.52</v>
      </c>
      <c r="E76">
        <v>112</v>
      </c>
      <c r="F76">
        <v>1738.24</v>
      </c>
    </row>
    <row r="77" spans="1:6" x14ac:dyDescent="0.25">
      <c r="A77">
        <v>76</v>
      </c>
      <c r="B77" s="1">
        <v>45714</v>
      </c>
      <c r="C77" s="2" t="s">
        <v>19</v>
      </c>
      <c r="D77">
        <v>86</v>
      </c>
      <c r="E77">
        <v>74</v>
      </c>
      <c r="F77">
        <v>6364</v>
      </c>
    </row>
    <row r="78" spans="1:6" x14ac:dyDescent="0.25">
      <c r="A78">
        <v>77</v>
      </c>
      <c r="B78" s="1">
        <v>45703</v>
      </c>
      <c r="C78" s="2" t="s">
        <v>21</v>
      </c>
      <c r="D78">
        <v>11.27</v>
      </c>
      <c r="E78">
        <v>204</v>
      </c>
      <c r="F78">
        <v>2299.08</v>
      </c>
    </row>
    <row r="79" spans="1:6" x14ac:dyDescent="0.25">
      <c r="A79">
        <v>78</v>
      </c>
      <c r="B79" s="1">
        <v>45793</v>
      </c>
      <c r="C79" s="2" t="s">
        <v>7</v>
      </c>
      <c r="D79">
        <v>9.11</v>
      </c>
      <c r="E79">
        <v>198</v>
      </c>
      <c r="F79">
        <v>1803.78</v>
      </c>
    </row>
    <row r="80" spans="1:6" x14ac:dyDescent="0.25">
      <c r="A80">
        <v>79</v>
      </c>
      <c r="B80" s="1">
        <v>45688</v>
      </c>
      <c r="C80" s="2" t="s">
        <v>30</v>
      </c>
      <c r="D80">
        <v>51.15</v>
      </c>
      <c r="E80">
        <v>135</v>
      </c>
      <c r="F80">
        <v>6905.25</v>
      </c>
    </row>
    <row r="81" spans="1:6" x14ac:dyDescent="0.25">
      <c r="A81">
        <v>80</v>
      </c>
      <c r="B81" s="1">
        <v>45837</v>
      </c>
      <c r="C81" s="2" t="s">
        <v>19</v>
      </c>
      <c r="D81">
        <v>144.15</v>
      </c>
      <c r="E81">
        <v>55</v>
      </c>
      <c r="F81">
        <v>7928.25</v>
      </c>
    </row>
    <row r="82" spans="1:6" x14ac:dyDescent="0.25">
      <c r="A82">
        <v>81</v>
      </c>
      <c r="B82" s="1">
        <v>45675</v>
      </c>
      <c r="C82" s="2" t="s">
        <v>14</v>
      </c>
      <c r="D82">
        <v>44.91</v>
      </c>
      <c r="E82">
        <v>152</v>
      </c>
      <c r="F82">
        <v>6826.32</v>
      </c>
    </row>
    <row r="83" spans="1:6" x14ac:dyDescent="0.25">
      <c r="A83">
        <v>82</v>
      </c>
      <c r="B83" s="1">
        <v>45719</v>
      </c>
      <c r="C83" s="2" t="s">
        <v>18</v>
      </c>
      <c r="D83">
        <v>32.18</v>
      </c>
      <c r="E83">
        <v>154</v>
      </c>
      <c r="F83">
        <v>4955.72</v>
      </c>
    </row>
    <row r="84" spans="1:6" x14ac:dyDescent="0.25">
      <c r="A84">
        <v>83</v>
      </c>
      <c r="B84" s="1">
        <v>45711</v>
      </c>
      <c r="C84" s="2" t="s">
        <v>9</v>
      </c>
      <c r="D84">
        <v>35.01</v>
      </c>
      <c r="E84">
        <v>157</v>
      </c>
      <c r="F84">
        <v>5496.57</v>
      </c>
    </row>
    <row r="85" spans="1:6" x14ac:dyDescent="0.25">
      <c r="A85">
        <v>84</v>
      </c>
      <c r="B85" s="1">
        <v>45790</v>
      </c>
      <c r="C85" s="2" t="s">
        <v>22</v>
      </c>
      <c r="D85">
        <v>16.37</v>
      </c>
      <c r="E85">
        <v>99</v>
      </c>
      <c r="F85">
        <v>1620.63</v>
      </c>
    </row>
    <row r="86" spans="1:6" x14ac:dyDescent="0.25">
      <c r="A86">
        <v>85</v>
      </c>
      <c r="B86" s="1">
        <v>45756</v>
      </c>
      <c r="C86" s="2" t="s">
        <v>25</v>
      </c>
      <c r="D86">
        <v>7.4</v>
      </c>
      <c r="E86">
        <v>34</v>
      </c>
      <c r="F86">
        <v>251.60000000000002</v>
      </c>
    </row>
    <row r="87" spans="1:6" x14ac:dyDescent="0.25">
      <c r="A87">
        <v>86</v>
      </c>
      <c r="B87" s="1">
        <v>45664</v>
      </c>
      <c r="C87" s="2" t="s">
        <v>11</v>
      </c>
      <c r="D87">
        <v>63.1</v>
      </c>
      <c r="E87">
        <v>118</v>
      </c>
      <c r="F87">
        <v>7445.8</v>
      </c>
    </row>
    <row r="88" spans="1:6" x14ac:dyDescent="0.25">
      <c r="A88">
        <v>87</v>
      </c>
      <c r="B88" s="1">
        <v>45797</v>
      </c>
      <c r="C88" s="2" t="s">
        <v>26</v>
      </c>
      <c r="D88">
        <v>16.809999999999999</v>
      </c>
      <c r="E88">
        <v>109</v>
      </c>
      <c r="F88">
        <v>1832.29</v>
      </c>
    </row>
    <row r="89" spans="1:6" x14ac:dyDescent="0.25">
      <c r="A89">
        <v>88</v>
      </c>
      <c r="B89" s="1">
        <v>45688</v>
      </c>
      <c r="C89" s="2" t="s">
        <v>16</v>
      </c>
      <c r="D89">
        <v>54.78</v>
      </c>
      <c r="E89">
        <v>223</v>
      </c>
      <c r="F89">
        <v>12215.94</v>
      </c>
    </row>
    <row r="90" spans="1:6" x14ac:dyDescent="0.25">
      <c r="A90">
        <v>89</v>
      </c>
      <c r="B90" s="1">
        <v>45804</v>
      </c>
      <c r="C90" s="2" t="s">
        <v>26</v>
      </c>
      <c r="D90">
        <v>59.87</v>
      </c>
      <c r="E90">
        <v>98</v>
      </c>
      <c r="F90">
        <v>5867.2599999999993</v>
      </c>
    </row>
    <row r="91" spans="1:6" x14ac:dyDescent="0.25">
      <c r="A91">
        <v>90</v>
      </c>
      <c r="B91" s="1">
        <v>45802</v>
      </c>
      <c r="C91" s="2" t="s">
        <v>14</v>
      </c>
      <c r="D91">
        <v>76.680000000000007</v>
      </c>
      <c r="E91">
        <v>152</v>
      </c>
      <c r="F91">
        <v>11655.36</v>
      </c>
    </row>
    <row r="92" spans="1:6" x14ac:dyDescent="0.25">
      <c r="A92">
        <v>91</v>
      </c>
      <c r="B92" s="1">
        <v>45680</v>
      </c>
      <c r="C92" s="2" t="s">
        <v>13</v>
      </c>
      <c r="D92">
        <v>38.700000000000003</v>
      </c>
      <c r="E92">
        <v>31</v>
      </c>
      <c r="F92">
        <v>1199.7</v>
      </c>
    </row>
    <row r="93" spans="1:6" x14ac:dyDescent="0.25">
      <c r="A93">
        <v>92</v>
      </c>
      <c r="B93" s="1">
        <v>45828</v>
      </c>
      <c r="C93" s="2" t="s">
        <v>26</v>
      </c>
      <c r="D93">
        <v>138.05000000000001</v>
      </c>
      <c r="E93">
        <v>138</v>
      </c>
      <c r="F93">
        <v>19050.900000000001</v>
      </c>
    </row>
    <row r="94" spans="1:6" x14ac:dyDescent="0.25">
      <c r="A94">
        <v>93</v>
      </c>
      <c r="B94" s="1">
        <v>45746</v>
      </c>
      <c r="C94" s="2" t="s">
        <v>20</v>
      </c>
      <c r="D94">
        <v>12.24</v>
      </c>
      <c r="E94">
        <v>189</v>
      </c>
      <c r="F94">
        <v>2313.36</v>
      </c>
    </row>
    <row r="95" spans="1:6" x14ac:dyDescent="0.25">
      <c r="A95">
        <v>94</v>
      </c>
      <c r="B95" s="1">
        <v>45784</v>
      </c>
      <c r="C95" s="2" t="s">
        <v>23</v>
      </c>
      <c r="D95">
        <v>84.63</v>
      </c>
      <c r="E95">
        <v>36</v>
      </c>
      <c r="F95">
        <v>3046.68</v>
      </c>
    </row>
    <row r="96" spans="1:6" x14ac:dyDescent="0.25">
      <c r="A96">
        <v>95</v>
      </c>
      <c r="B96" s="1">
        <v>45817</v>
      </c>
      <c r="C96" s="2" t="s">
        <v>14</v>
      </c>
      <c r="D96">
        <v>34.51</v>
      </c>
      <c r="E96">
        <v>91</v>
      </c>
      <c r="F96">
        <v>3140.41</v>
      </c>
    </row>
    <row r="97" spans="1:6" x14ac:dyDescent="0.25">
      <c r="A97">
        <v>96</v>
      </c>
      <c r="B97" s="1">
        <v>45672</v>
      </c>
      <c r="C97" s="2" t="s">
        <v>18</v>
      </c>
      <c r="D97">
        <v>125.45</v>
      </c>
      <c r="E97">
        <v>78</v>
      </c>
      <c r="F97">
        <v>9785.1</v>
      </c>
    </row>
    <row r="98" spans="1:6" x14ac:dyDescent="0.25">
      <c r="A98">
        <v>97</v>
      </c>
      <c r="B98" s="1">
        <v>45806</v>
      </c>
      <c r="C98" s="2" t="s">
        <v>26</v>
      </c>
      <c r="D98">
        <v>33.409999999999997</v>
      </c>
      <c r="E98">
        <v>40</v>
      </c>
      <c r="F98">
        <v>1336.3999999999999</v>
      </c>
    </row>
    <row r="99" spans="1:6" x14ac:dyDescent="0.25">
      <c r="A99">
        <v>98</v>
      </c>
      <c r="B99" s="1">
        <v>45794</v>
      </c>
      <c r="C99" s="2" t="s">
        <v>9</v>
      </c>
      <c r="D99">
        <v>41.83</v>
      </c>
      <c r="E99">
        <v>45</v>
      </c>
      <c r="F99">
        <v>1882.35</v>
      </c>
    </row>
    <row r="100" spans="1:6" x14ac:dyDescent="0.25">
      <c r="A100">
        <v>99</v>
      </c>
      <c r="B100" s="1">
        <v>45795</v>
      </c>
      <c r="C100" s="2" t="s">
        <v>25</v>
      </c>
      <c r="D100">
        <v>66.7</v>
      </c>
      <c r="E100">
        <v>176</v>
      </c>
      <c r="F100">
        <v>11739.2</v>
      </c>
    </row>
    <row r="101" spans="1:6" x14ac:dyDescent="0.25">
      <c r="A101">
        <v>100</v>
      </c>
      <c r="B101" s="1">
        <v>45664</v>
      </c>
      <c r="C101" s="2" t="s">
        <v>30</v>
      </c>
      <c r="D101">
        <v>10.17</v>
      </c>
      <c r="E101">
        <v>176</v>
      </c>
      <c r="F101">
        <v>1789.92</v>
      </c>
    </row>
    <row r="102" spans="1:6" x14ac:dyDescent="0.25">
      <c r="A102">
        <v>101</v>
      </c>
      <c r="B102" s="1">
        <v>45829</v>
      </c>
      <c r="C102" s="2" t="s">
        <v>15</v>
      </c>
      <c r="D102">
        <v>72.97</v>
      </c>
      <c r="E102">
        <v>79</v>
      </c>
      <c r="F102">
        <v>5764.63</v>
      </c>
    </row>
    <row r="103" spans="1:6" x14ac:dyDescent="0.25">
      <c r="A103">
        <v>102</v>
      </c>
      <c r="B103" s="1">
        <v>45704</v>
      </c>
      <c r="C103" s="2" t="s">
        <v>9</v>
      </c>
      <c r="D103">
        <v>131.78</v>
      </c>
      <c r="E103">
        <v>100</v>
      </c>
      <c r="F103">
        <v>13178</v>
      </c>
    </row>
    <row r="104" spans="1:6" x14ac:dyDescent="0.25">
      <c r="A104">
        <v>103</v>
      </c>
      <c r="B104" s="1">
        <v>45680</v>
      </c>
      <c r="C104" s="2" t="s">
        <v>11</v>
      </c>
      <c r="D104">
        <v>7.84</v>
      </c>
      <c r="E104">
        <v>102</v>
      </c>
      <c r="F104">
        <v>799.68</v>
      </c>
    </row>
    <row r="105" spans="1:6" x14ac:dyDescent="0.25">
      <c r="A105">
        <v>104</v>
      </c>
      <c r="B105" s="1">
        <v>45734</v>
      </c>
      <c r="C105" s="2" t="s">
        <v>27</v>
      </c>
      <c r="D105">
        <v>38.49</v>
      </c>
      <c r="E105">
        <v>136</v>
      </c>
      <c r="F105">
        <v>5234.6400000000003</v>
      </c>
    </row>
    <row r="106" spans="1:6" x14ac:dyDescent="0.25">
      <c r="A106">
        <v>105</v>
      </c>
      <c r="B106" s="1">
        <v>45751</v>
      </c>
      <c r="C106" s="2" t="s">
        <v>12</v>
      </c>
      <c r="D106">
        <v>64.8</v>
      </c>
      <c r="E106">
        <v>38</v>
      </c>
      <c r="F106">
        <v>2462.4</v>
      </c>
    </row>
    <row r="107" spans="1:6" x14ac:dyDescent="0.25">
      <c r="A107">
        <v>106</v>
      </c>
      <c r="B107" s="1">
        <v>45730</v>
      </c>
      <c r="C107" s="2" t="s">
        <v>22</v>
      </c>
      <c r="D107">
        <v>71.11</v>
      </c>
      <c r="E107">
        <v>79</v>
      </c>
      <c r="F107">
        <v>5617.69</v>
      </c>
    </row>
    <row r="108" spans="1:6" x14ac:dyDescent="0.25">
      <c r="A108">
        <v>107</v>
      </c>
      <c r="B108" s="1">
        <v>45669</v>
      </c>
      <c r="C108" s="2" t="s">
        <v>7</v>
      </c>
      <c r="D108">
        <v>76.02</v>
      </c>
      <c r="E108">
        <v>138</v>
      </c>
      <c r="F108">
        <v>10490.76</v>
      </c>
    </row>
    <row r="109" spans="1:6" x14ac:dyDescent="0.25">
      <c r="A109">
        <v>108</v>
      </c>
      <c r="B109" s="1">
        <v>45706</v>
      </c>
      <c r="C109" s="2" t="s">
        <v>14</v>
      </c>
      <c r="D109">
        <v>58.25</v>
      </c>
      <c r="E109">
        <v>219</v>
      </c>
      <c r="F109">
        <v>12756.75</v>
      </c>
    </row>
    <row r="110" spans="1:6" x14ac:dyDescent="0.25">
      <c r="A110">
        <v>109</v>
      </c>
      <c r="B110" s="1">
        <v>45708</v>
      </c>
      <c r="C110" s="2" t="s">
        <v>26</v>
      </c>
      <c r="D110">
        <v>17.73</v>
      </c>
      <c r="E110">
        <v>70</v>
      </c>
      <c r="F110">
        <v>1241.1000000000001</v>
      </c>
    </row>
    <row r="111" spans="1:6" x14ac:dyDescent="0.25">
      <c r="A111">
        <v>110</v>
      </c>
      <c r="B111" s="1">
        <v>45818</v>
      </c>
      <c r="C111" s="2" t="s">
        <v>17</v>
      </c>
      <c r="D111">
        <v>47.46</v>
      </c>
      <c r="E111">
        <v>140</v>
      </c>
      <c r="F111">
        <v>6644.4000000000005</v>
      </c>
    </row>
    <row r="112" spans="1:6" x14ac:dyDescent="0.25">
      <c r="A112">
        <v>111</v>
      </c>
      <c r="B112" s="1">
        <v>45782</v>
      </c>
      <c r="C112" s="2" t="s">
        <v>10</v>
      </c>
      <c r="D112">
        <v>90.46</v>
      </c>
      <c r="E112">
        <v>45</v>
      </c>
      <c r="F112">
        <v>4070.7</v>
      </c>
    </row>
    <row r="113" spans="1:6" x14ac:dyDescent="0.25">
      <c r="A113">
        <v>112</v>
      </c>
      <c r="B113" s="1">
        <v>45770</v>
      </c>
      <c r="C113" s="2" t="s">
        <v>29</v>
      </c>
      <c r="D113">
        <v>45.55</v>
      </c>
      <c r="E113">
        <v>25</v>
      </c>
      <c r="F113">
        <v>1138.75</v>
      </c>
    </row>
    <row r="114" spans="1:6" x14ac:dyDescent="0.25">
      <c r="A114">
        <v>113</v>
      </c>
      <c r="B114" s="1">
        <v>45834</v>
      </c>
      <c r="C114" s="2" t="s">
        <v>29</v>
      </c>
      <c r="D114">
        <v>15.57</v>
      </c>
      <c r="E114">
        <v>66</v>
      </c>
      <c r="F114">
        <v>1027.6200000000001</v>
      </c>
    </row>
    <row r="115" spans="1:6" x14ac:dyDescent="0.25">
      <c r="A115">
        <v>114</v>
      </c>
      <c r="B115" s="1">
        <v>45749</v>
      </c>
      <c r="C115" s="2" t="s">
        <v>10</v>
      </c>
      <c r="D115">
        <v>50.87</v>
      </c>
      <c r="E115">
        <v>160</v>
      </c>
      <c r="F115">
        <v>8139.2</v>
      </c>
    </row>
    <row r="116" spans="1:6" x14ac:dyDescent="0.25">
      <c r="A116">
        <v>115</v>
      </c>
      <c r="B116" s="1">
        <v>45786</v>
      </c>
      <c r="C116" s="2" t="s">
        <v>22</v>
      </c>
      <c r="D116">
        <v>27.18</v>
      </c>
      <c r="E116">
        <v>68</v>
      </c>
      <c r="F116">
        <v>1848.24</v>
      </c>
    </row>
    <row r="117" spans="1:6" x14ac:dyDescent="0.25">
      <c r="A117">
        <v>116</v>
      </c>
      <c r="B117" s="1">
        <v>45790</v>
      </c>
      <c r="C117" s="2" t="s">
        <v>9</v>
      </c>
      <c r="D117">
        <v>98.76</v>
      </c>
      <c r="E117">
        <v>128</v>
      </c>
      <c r="F117">
        <v>12641.28</v>
      </c>
    </row>
    <row r="118" spans="1:6" x14ac:dyDescent="0.25">
      <c r="A118">
        <v>117</v>
      </c>
      <c r="B118" s="1">
        <v>45821</v>
      </c>
      <c r="C118" s="2" t="s">
        <v>26</v>
      </c>
      <c r="D118">
        <v>98.3</v>
      </c>
      <c r="E118">
        <v>119</v>
      </c>
      <c r="F118">
        <v>11697.699999999999</v>
      </c>
    </row>
    <row r="119" spans="1:6" x14ac:dyDescent="0.25">
      <c r="A119">
        <v>118</v>
      </c>
      <c r="B119" s="1">
        <v>45683</v>
      </c>
      <c r="C119" s="2" t="s">
        <v>13</v>
      </c>
      <c r="D119">
        <v>96.54</v>
      </c>
      <c r="E119">
        <v>131</v>
      </c>
      <c r="F119">
        <v>12646.740000000002</v>
      </c>
    </row>
    <row r="120" spans="1:6" x14ac:dyDescent="0.25">
      <c r="A120">
        <v>119</v>
      </c>
      <c r="B120" s="1">
        <v>45699</v>
      </c>
      <c r="C120" s="2" t="s">
        <v>20</v>
      </c>
      <c r="D120">
        <v>36.369999999999997</v>
      </c>
      <c r="E120">
        <v>89</v>
      </c>
      <c r="F120">
        <v>3236.93</v>
      </c>
    </row>
    <row r="121" spans="1:6" x14ac:dyDescent="0.25">
      <c r="A121">
        <v>120</v>
      </c>
      <c r="B121" s="1">
        <v>45827</v>
      </c>
      <c r="C121" s="2" t="s">
        <v>20</v>
      </c>
      <c r="D121">
        <v>57.55</v>
      </c>
      <c r="E121">
        <v>137</v>
      </c>
      <c r="F121">
        <v>7884.3499999999995</v>
      </c>
    </row>
    <row r="122" spans="1:6" x14ac:dyDescent="0.25">
      <c r="A122">
        <v>121</v>
      </c>
      <c r="B122" s="1">
        <v>45681</v>
      </c>
      <c r="C122" s="2" t="s">
        <v>30</v>
      </c>
      <c r="D122">
        <v>119.4</v>
      </c>
      <c r="E122">
        <v>152</v>
      </c>
      <c r="F122">
        <v>18148.8</v>
      </c>
    </row>
    <row r="123" spans="1:6" x14ac:dyDescent="0.25">
      <c r="A123">
        <v>122</v>
      </c>
      <c r="B123" s="1">
        <v>45776</v>
      </c>
      <c r="C123" s="2" t="s">
        <v>6</v>
      </c>
      <c r="D123">
        <v>72.36</v>
      </c>
      <c r="E123">
        <v>62</v>
      </c>
      <c r="F123">
        <v>4486.32</v>
      </c>
    </row>
    <row r="124" spans="1:6" x14ac:dyDescent="0.25">
      <c r="A124">
        <v>123</v>
      </c>
      <c r="B124" s="1">
        <v>45665</v>
      </c>
      <c r="C124" s="2" t="s">
        <v>28</v>
      </c>
      <c r="D124">
        <v>49.7</v>
      </c>
      <c r="E124">
        <v>197</v>
      </c>
      <c r="F124">
        <v>9790.9000000000015</v>
      </c>
    </row>
    <row r="125" spans="1:6" x14ac:dyDescent="0.25">
      <c r="A125">
        <v>124</v>
      </c>
      <c r="B125" s="1">
        <v>45751</v>
      </c>
      <c r="C125" s="2" t="s">
        <v>14</v>
      </c>
      <c r="D125">
        <v>61.28</v>
      </c>
      <c r="E125">
        <v>156</v>
      </c>
      <c r="F125">
        <v>9559.68</v>
      </c>
    </row>
    <row r="126" spans="1:6" x14ac:dyDescent="0.25">
      <c r="A126">
        <v>125</v>
      </c>
      <c r="B126" s="1">
        <v>45766</v>
      </c>
      <c r="C126" s="2" t="s">
        <v>13</v>
      </c>
      <c r="D126">
        <v>46.4</v>
      </c>
      <c r="E126">
        <v>39</v>
      </c>
      <c r="F126">
        <v>1809.6</v>
      </c>
    </row>
    <row r="127" spans="1:6" x14ac:dyDescent="0.25">
      <c r="A127">
        <v>126</v>
      </c>
      <c r="B127" s="1">
        <v>45762</v>
      </c>
      <c r="C127" s="2" t="s">
        <v>14</v>
      </c>
      <c r="D127">
        <v>24.96</v>
      </c>
      <c r="E127">
        <v>142</v>
      </c>
      <c r="F127">
        <v>3544.32</v>
      </c>
    </row>
    <row r="128" spans="1:6" x14ac:dyDescent="0.25">
      <c r="A128">
        <v>127</v>
      </c>
      <c r="B128" s="1">
        <v>45682</v>
      </c>
      <c r="C128" s="2" t="s">
        <v>10</v>
      </c>
      <c r="D128">
        <v>18.670000000000002</v>
      </c>
      <c r="E128">
        <v>20</v>
      </c>
      <c r="F128">
        <v>373.40000000000003</v>
      </c>
    </row>
    <row r="129" spans="1:6" x14ac:dyDescent="0.25">
      <c r="A129">
        <v>128</v>
      </c>
      <c r="B129" s="1">
        <v>45782</v>
      </c>
      <c r="C129" s="2" t="s">
        <v>6</v>
      </c>
      <c r="D129">
        <v>68.56</v>
      </c>
      <c r="E129">
        <v>198</v>
      </c>
      <c r="F129">
        <v>13574.880000000001</v>
      </c>
    </row>
    <row r="130" spans="1:6" x14ac:dyDescent="0.25">
      <c r="A130">
        <v>129</v>
      </c>
      <c r="B130" s="1">
        <v>45714</v>
      </c>
      <c r="C130" s="2" t="s">
        <v>26</v>
      </c>
      <c r="D130">
        <v>19.98</v>
      </c>
      <c r="E130">
        <v>91</v>
      </c>
      <c r="F130">
        <v>1818.18</v>
      </c>
    </row>
    <row r="131" spans="1:6" x14ac:dyDescent="0.25">
      <c r="A131">
        <v>130</v>
      </c>
      <c r="B131" s="1">
        <v>45820</v>
      </c>
      <c r="C131" s="2" t="s">
        <v>18</v>
      </c>
      <c r="D131">
        <v>90.05</v>
      </c>
      <c r="E131">
        <v>214</v>
      </c>
      <c r="F131">
        <v>19270.7</v>
      </c>
    </row>
    <row r="132" spans="1:6" x14ac:dyDescent="0.25">
      <c r="A132">
        <v>131</v>
      </c>
      <c r="B132" s="1">
        <v>45753</v>
      </c>
      <c r="C132" s="2" t="s">
        <v>23</v>
      </c>
      <c r="D132">
        <v>81.25</v>
      </c>
      <c r="E132">
        <v>57</v>
      </c>
      <c r="F132">
        <v>4631.25</v>
      </c>
    </row>
    <row r="133" spans="1:6" x14ac:dyDescent="0.25">
      <c r="A133">
        <v>132</v>
      </c>
      <c r="B133" s="1">
        <v>45675</v>
      </c>
      <c r="C133" s="2" t="s">
        <v>8</v>
      </c>
      <c r="D133">
        <v>39.42</v>
      </c>
      <c r="E133">
        <v>189</v>
      </c>
      <c r="F133">
        <v>7450.38</v>
      </c>
    </row>
    <row r="134" spans="1:6" x14ac:dyDescent="0.25">
      <c r="A134">
        <v>133</v>
      </c>
      <c r="B134" s="1">
        <v>45789</v>
      </c>
      <c r="C134" s="2" t="s">
        <v>6</v>
      </c>
      <c r="D134">
        <v>53.54</v>
      </c>
      <c r="E134">
        <v>106</v>
      </c>
      <c r="F134">
        <v>5675.24</v>
      </c>
    </row>
    <row r="135" spans="1:6" x14ac:dyDescent="0.25">
      <c r="A135">
        <v>134</v>
      </c>
      <c r="B135" s="1">
        <v>45679</v>
      </c>
      <c r="C135" s="2" t="s">
        <v>6</v>
      </c>
      <c r="D135">
        <v>100.16</v>
      </c>
      <c r="E135">
        <v>144</v>
      </c>
      <c r="F135">
        <v>14423.039999999999</v>
      </c>
    </row>
    <row r="136" spans="1:6" x14ac:dyDescent="0.25">
      <c r="A136">
        <v>135</v>
      </c>
      <c r="B136" s="1">
        <v>45765</v>
      </c>
      <c r="C136" s="2" t="s">
        <v>15</v>
      </c>
      <c r="D136">
        <v>34.35</v>
      </c>
      <c r="E136">
        <v>131</v>
      </c>
      <c r="F136">
        <v>4499.8500000000004</v>
      </c>
    </row>
    <row r="137" spans="1:6" x14ac:dyDescent="0.25">
      <c r="A137">
        <v>136</v>
      </c>
      <c r="B137" s="1">
        <v>45814</v>
      </c>
      <c r="C137" s="2" t="s">
        <v>27</v>
      </c>
      <c r="D137">
        <v>66.930000000000007</v>
      </c>
      <c r="E137">
        <v>23</v>
      </c>
      <c r="F137">
        <v>1539.39</v>
      </c>
    </row>
    <row r="138" spans="1:6" x14ac:dyDescent="0.25">
      <c r="A138">
        <v>137</v>
      </c>
      <c r="B138" s="1">
        <v>45694</v>
      </c>
      <c r="C138" s="2" t="s">
        <v>21</v>
      </c>
      <c r="D138">
        <v>117.62</v>
      </c>
      <c r="E138">
        <v>66</v>
      </c>
      <c r="F138">
        <v>7762.92</v>
      </c>
    </row>
    <row r="139" spans="1:6" x14ac:dyDescent="0.25">
      <c r="A139">
        <v>138</v>
      </c>
      <c r="B139" s="1">
        <v>45719</v>
      </c>
      <c r="C139" s="2" t="s">
        <v>12</v>
      </c>
      <c r="D139">
        <v>9.9600000000000009</v>
      </c>
      <c r="E139">
        <v>162</v>
      </c>
      <c r="F139">
        <v>1613.5200000000002</v>
      </c>
    </row>
    <row r="140" spans="1:6" x14ac:dyDescent="0.25">
      <c r="A140">
        <v>139</v>
      </c>
      <c r="B140" s="1">
        <v>45780</v>
      </c>
      <c r="C140" s="2" t="s">
        <v>30</v>
      </c>
      <c r="D140">
        <v>58.45</v>
      </c>
      <c r="E140">
        <v>188</v>
      </c>
      <c r="F140">
        <v>10988.6</v>
      </c>
    </row>
    <row r="141" spans="1:6" x14ac:dyDescent="0.25">
      <c r="A141">
        <v>140</v>
      </c>
      <c r="B141" s="1">
        <v>45814</v>
      </c>
      <c r="C141" s="2" t="s">
        <v>10</v>
      </c>
      <c r="D141">
        <v>88.94</v>
      </c>
      <c r="E141">
        <v>92</v>
      </c>
      <c r="F141">
        <v>8182.48</v>
      </c>
    </row>
    <row r="142" spans="1:6" x14ac:dyDescent="0.25">
      <c r="A142">
        <v>141</v>
      </c>
      <c r="B142" s="1">
        <v>45754</v>
      </c>
      <c r="C142" s="2" t="s">
        <v>6</v>
      </c>
      <c r="D142">
        <v>20.84</v>
      </c>
      <c r="E142">
        <v>31</v>
      </c>
      <c r="F142">
        <v>646.04</v>
      </c>
    </row>
    <row r="143" spans="1:6" x14ac:dyDescent="0.25">
      <c r="A143">
        <v>142</v>
      </c>
      <c r="B143" s="1">
        <v>45756</v>
      </c>
      <c r="C143" s="2" t="s">
        <v>6</v>
      </c>
      <c r="D143">
        <v>94.94</v>
      </c>
      <c r="E143">
        <v>107</v>
      </c>
      <c r="F143">
        <v>10158.58</v>
      </c>
    </row>
    <row r="144" spans="1:6" x14ac:dyDescent="0.25">
      <c r="A144">
        <v>143</v>
      </c>
      <c r="B144" s="1">
        <v>45691</v>
      </c>
      <c r="C144" s="2" t="s">
        <v>30</v>
      </c>
      <c r="D144">
        <v>12.47</v>
      </c>
      <c r="E144">
        <v>222</v>
      </c>
      <c r="F144">
        <v>2768.34</v>
      </c>
    </row>
    <row r="145" spans="1:6" x14ac:dyDescent="0.25">
      <c r="A145">
        <v>144</v>
      </c>
      <c r="B145" s="1">
        <v>45808</v>
      </c>
      <c r="C145" s="2" t="s">
        <v>21</v>
      </c>
      <c r="D145">
        <v>67.53</v>
      </c>
      <c r="E145">
        <v>148</v>
      </c>
      <c r="F145">
        <v>9994.44</v>
      </c>
    </row>
    <row r="146" spans="1:6" x14ac:dyDescent="0.25">
      <c r="A146">
        <v>145</v>
      </c>
      <c r="B146" s="1">
        <v>45709</v>
      </c>
      <c r="C146" s="2" t="s">
        <v>14</v>
      </c>
      <c r="D146">
        <v>63.58</v>
      </c>
      <c r="E146">
        <v>87</v>
      </c>
      <c r="F146">
        <v>5531.46</v>
      </c>
    </row>
    <row r="147" spans="1:6" x14ac:dyDescent="0.25">
      <c r="A147">
        <v>146</v>
      </c>
      <c r="B147" s="1">
        <v>45675</v>
      </c>
      <c r="C147" s="2" t="s">
        <v>29</v>
      </c>
      <c r="D147">
        <v>40.57</v>
      </c>
      <c r="E147">
        <v>69</v>
      </c>
      <c r="F147">
        <v>2799.33</v>
      </c>
    </row>
    <row r="148" spans="1:6" x14ac:dyDescent="0.25">
      <c r="A148">
        <v>147</v>
      </c>
      <c r="B148" s="1">
        <v>45673</v>
      </c>
      <c r="C148" s="2" t="s">
        <v>29</v>
      </c>
      <c r="D148">
        <v>63.34</v>
      </c>
      <c r="E148">
        <v>62</v>
      </c>
      <c r="F148">
        <v>3927.0800000000004</v>
      </c>
    </row>
    <row r="149" spans="1:6" x14ac:dyDescent="0.25">
      <c r="A149">
        <v>148</v>
      </c>
      <c r="B149" s="1">
        <v>45820</v>
      </c>
      <c r="C149" s="2" t="s">
        <v>21</v>
      </c>
      <c r="D149">
        <v>92.19</v>
      </c>
      <c r="E149">
        <v>223</v>
      </c>
      <c r="F149">
        <v>20558.37</v>
      </c>
    </row>
    <row r="150" spans="1:6" x14ac:dyDescent="0.25">
      <c r="A150">
        <v>149</v>
      </c>
      <c r="B150" s="1">
        <v>45686</v>
      </c>
      <c r="C150" s="2" t="s">
        <v>28</v>
      </c>
      <c r="D150">
        <v>56.66</v>
      </c>
      <c r="E150">
        <v>124</v>
      </c>
      <c r="F150">
        <v>7025.8399999999992</v>
      </c>
    </row>
    <row r="151" spans="1:6" x14ac:dyDescent="0.25">
      <c r="A151">
        <v>150</v>
      </c>
      <c r="B151" s="1">
        <v>45667</v>
      </c>
      <c r="C151" s="2" t="s">
        <v>24</v>
      </c>
      <c r="D151">
        <v>52.75</v>
      </c>
      <c r="E151">
        <v>131</v>
      </c>
      <c r="F151">
        <v>6910.25</v>
      </c>
    </row>
    <row r="152" spans="1:6" x14ac:dyDescent="0.25">
      <c r="A152">
        <v>151</v>
      </c>
      <c r="B152" s="1">
        <v>45758</v>
      </c>
      <c r="C152" s="2" t="s">
        <v>27</v>
      </c>
      <c r="D152">
        <v>114.37</v>
      </c>
      <c r="E152">
        <v>160</v>
      </c>
      <c r="F152">
        <v>18299.2</v>
      </c>
    </row>
    <row r="153" spans="1:6" x14ac:dyDescent="0.25">
      <c r="A153">
        <v>152</v>
      </c>
      <c r="B153" s="1">
        <v>45722</v>
      </c>
      <c r="C153" s="2" t="s">
        <v>27</v>
      </c>
      <c r="D153">
        <v>37.11</v>
      </c>
      <c r="E153">
        <v>146</v>
      </c>
      <c r="F153">
        <v>5418.0599999999995</v>
      </c>
    </row>
    <row r="154" spans="1:6" x14ac:dyDescent="0.25">
      <c r="A154">
        <v>153</v>
      </c>
      <c r="B154" s="1">
        <v>45794</v>
      </c>
      <c r="C154" s="2" t="s">
        <v>8</v>
      </c>
      <c r="D154">
        <v>22.65</v>
      </c>
      <c r="E154">
        <v>212</v>
      </c>
      <c r="F154">
        <v>4801.7999999999993</v>
      </c>
    </row>
    <row r="155" spans="1:6" x14ac:dyDescent="0.25">
      <c r="A155">
        <v>154</v>
      </c>
      <c r="B155" s="1">
        <v>45831</v>
      </c>
      <c r="C155" s="2" t="s">
        <v>6</v>
      </c>
      <c r="D155">
        <v>43.46</v>
      </c>
      <c r="E155">
        <v>70</v>
      </c>
      <c r="F155">
        <v>3042.2000000000003</v>
      </c>
    </row>
    <row r="156" spans="1:6" x14ac:dyDescent="0.25">
      <c r="A156">
        <v>155</v>
      </c>
      <c r="B156" s="1">
        <v>45790</v>
      </c>
      <c r="C156" s="2" t="s">
        <v>17</v>
      </c>
      <c r="D156">
        <v>49.66</v>
      </c>
      <c r="E156">
        <v>180</v>
      </c>
      <c r="F156">
        <v>8938.7999999999993</v>
      </c>
    </row>
    <row r="157" spans="1:6" x14ac:dyDescent="0.25">
      <c r="A157">
        <v>156</v>
      </c>
      <c r="B157" s="1">
        <v>45738</v>
      </c>
      <c r="C157" s="2" t="s">
        <v>17</v>
      </c>
      <c r="D157">
        <v>129.15</v>
      </c>
      <c r="E157">
        <v>91</v>
      </c>
      <c r="F157">
        <v>11752.65</v>
      </c>
    </row>
    <row r="158" spans="1:6" x14ac:dyDescent="0.25">
      <c r="A158">
        <v>157</v>
      </c>
      <c r="B158" s="1">
        <v>45705</v>
      </c>
      <c r="C158" s="2" t="s">
        <v>16</v>
      </c>
      <c r="D158">
        <v>39.15</v>
      </c>
      <c r="E158">
        <v>44</v>
      </c>
      <c r="F158">
        <v>1722.6</v>
      </c>
    </row>
    <row r="159" spans="1:6" x14ac:dyDescent="0.25">
      <c r="A159">
        <v>158</v>
      </c>
      <c r="B159" s="1">
        <v>45742</v>
      </c>
      <c r="C159" s="2" t="s">
        <v>18</v>
      </c>
      <c r="D159">
        <v>6.77</v>
      </c>
      <c r="E159">
        <v>90</v>
      </c>
      <c r="F159">
        <v>609.29999999999995</v>
      </c>
    </row>
    <row r="160" spans="1:6" x14ac:dyDescent="0.25">
      <c r="A160">
        <v>159</v>
      </c>
      <c r="B160" s="1">
        <v>45718</v>
      </c>
      <c r="C160" s="2" t="s">
        <v>23</v>
      </c>
      <c r="D160">
        <v>86.65</v>
      </c>
      <c r="E160">
        <v>109</v>
      </c>
      <c r="F160">
        <v>9444.85</v>
      </c>
    </row>
    <row r="161" spans="1:6" x14ac:dyDescent="0.25">
      <c r="A161">
        <v>160</v>
      </c>
      <c r="B161" s="1">
        <v>45667</v>
      </c>
      <c r="C161" s="2" t="s">
        <v>6</v>
      </c>
      <c r="D161">
        <v>26.37</v>
      </c>
      <c r="E161">
        <v>93</v>
      </c>
      <c r="F161">
        <v>2452.4100000000003</v>
      </c>
    </row>
    <row r="162" spans="1:6" x14ac:dyDescent="0.25">
      <c r="A162">
        <v>161</v>
      </c>
      <c r="B162" s="1">
        <v>45726</v>
      </c>
      <c r="C162" s="2" t="s">
        <v>30</v>
      </c>
      <c r="D162">
        <v>54.8</v>
      </c>
      <c r="E162">
        <v>53</v>
      </c>
      <c r="F162">
        <v>2904.3999999999996</v>
      </c>
    </row>
    <row r="163" spans="1:6" x14ac:dyDescent="0.25">
      <c r="A163">
        <v>162</v>
      </c>
      <c r="B163" s="1">
        <v>45715</v>
      </c>
      <c r="C163" s="2" t="s">
        <v>14</v>
      </c>
      <c r="D163">
        <v>50.11</v>
      </c>
      <c r="E163">
        <v>204</v>
      </c>
      <c r="F163">
        <v>10222.44</v>
      </c>
    </row>
    <row r="164" spans="1:6" x14ac:dyDescent="0.25">
      <c r="A164">
        <v>163</v>
      </c>
      <c r="B164" s="1">
        <v>45784</v>
      </c>
      <c r="C164" s="2" t="s">
        <v>30</v>
      </c>
      <c r="D164">
        <v>120.95</v>
      </c>
      <c r="E164">
        <v>53</v>
      </c>
      <c r="F164">
        <v>6410.35</v>
      </c>
    </row>
    <row r="165" spans="1:6" x14ac:dyDescent="0.25">
      <c r="A165">
        <v>164</v>
      </c>
      <c r="B165" s="1">
        <v>45670</v>
      </c>
      <c r="C165" s="2" t="s">
        <v>27</v>
      </c>
      <c r="D165">
        <v>26.01</v>
      </c>
      <c r="E165">
        <v>168</v>
      </c>
      <c r="F165">
        <v>4369.68</v>
      </c>
    </row>
    <row r="166" spans="1:6" x14ac:dyDescent="0.25">
      <c r="A166">
        <v>165</v>
      </c>
      <c r="B166" s="1">
        <v>45736</v>
      </c>
      <c r="C166" s="2" t="s">
        <v>7</v>
      </c>
      <c r="D166">
        <v>95.21</v>
      </c>
      <c r="E166">
        <v>198</v>
      </c>
      <c r="F166">
        <v>18851.579999999998</v>
      </c>
    </row>
    <row r="167" spans="1:6" x14ac:dyDescent="0.25">
      <c r="A167">
        <v>166</v>
      </c>
      <c r="B167" s="1">
        <v>45722</v>
      </c>
      <c r="C167" s="2" t="s">
        <v>14</v>
      </c>
      <c r="D167">
        <v>88.52</v>
      </c>
      <c r="E167">
        <v>54</v>
      </c>
      <c r="F167">
        <v>4780.08</v>
      </c>
    </row>
    <row r="168" spans="1:6" x14ac:dyDescent="0.25">
      <c r="A168">
        <v>167</v>
      </c>
      <c r="B168" s="1">
        <v>45835</v>
      </c>
      <c r="C168" s="2" t="s">
        <v>26</v>
      </c>
      <c r="D168">
        <v>108.64</v>
      </c>
      <c r="E168">
        <v>85</v>
      </c>
      <c r="F168">
        <v>9234.4</v>
      </c>
    </row>
    <row r="169" spans="1:6" x14ac:dyDescent="0.25">
      <c r="A169">
        <v>168</v>
      </c>
      <c r="B169" s="1">
        <v>45725</v>
      </c>
      <c r="C169" s="2" t="s">
        <v>27</v>
      </c>
      <c r="D169">
        <v>71.510000000000005</v>
      </c>
      <c r="E169">
        <v>78</v>
      </c>
      <c r="F169">
        <v>5577.7800000000007</v>
      </c>
    </row>
    <row r="170" spans="1:6" x14ac:dyDescent="0.25">
      <c r="A170">
        <v>169</v>
      </c>
      <c r="B170" s="1">
        <v>45775</v>
      </c>
      <c r="C170" s="2" t="s">
        <v>16</v>
      </c>
      <c r="D170">
        <v>34.619999999999997</v>
      </c>
      <c r="E170">
        <v>55</v>
      </c>
      <c r="F170">
        <v>1904.1</v>
      </c>
    </row>
    <row r="171" spans="1:6" x14ac:dyDescent="0.25">
      <c r="A171">
        <v>170</v>
      </c>
      <c r="B171" s="1">
        <v>45749</v>
      </c>
      <c r="C171" s="2" t="s">
        <v>20</v>
      </c>
      <c r="D171">
        <v>72.09</v>
      </c>
      <c r="E171">
        <v>124</v>
      </c>
      <c r="F171">
        <v>8939.16</v>
      </c>
    </row>
    <row r="172" spans="1:6" x14ac:dyDescent="0.25">
      <c r="A172">
        <v>171</v>
      </c>
      <c r="B172" s="1">
        <v>45698</v>
      </c>
      <c r="C172" s="2" t="s">
        <v>10</v>
      </c>
      <c r="D172">
        <v>24.3</v>
      </c>
      <c r="E172">
        <v>163</v>
      </c>
      <c r="F172">
        <v>3960.9</v>
      </c>
    </row>
    <row r="173" spans="1:6" x14ac:dyDescent="0.25">
      <c r="A173">
        <v>172</v>
      </c>
      <c r="B173" s="1">
        <v>45703</v>
      </c>
      <c r="C173" s="2" t="s">
        <v>24</v>
      </c>
      <c r="D173">
        <v>30.65</v>
      </c>
      <c r="E173">
        <v>126</v>
      </c>
      <c r="F173">
        <v>3861.8999999999996</v>
      </c>
    </row>
    <row r="174" spans="1:6" x14ac:dyDescent="0.25">
      <c r="A174">
        <v>173</v>
      </c>
      <c r="B174" s="1">
        <v>45724</v>
      </c>
      <c r="C174" s="2" t="s">
        <v>24</v>
      </c>
      <c r="D174">
        <v>85.63</v>
      </c>
      <c r="E174">
        <v>172</v>
      </c>
      <c r="F174">
        <v>14728.359999999999</v>
      </c>
    </row>
    <row r="175" spans="1:6" x14ac:dyDescent="0.25">
      <c r="A175">
        <v>174</v>
      </c>
      <c r="B175" s="1">
        <v>45783</v>
      </c>
      <c r="C175" s="2" t="s">
        <v>30</v>
      </c>
      <c r="D175">
        <v>136.43</v>
      </c>
      <c r="E175">
        <v>155</v>
      </c>
      <c r="F175">
        <v>21146.65</v>
      </c>
    </row>
    <row r="176" spans="1:6" x14ac:dyDescent="0.25">
      <c r="A176">
        <v>175</v>
      </c>
      <c r="B176" s="1">
        <v>45773</v>
      </c>
      <c r="C176" s="2" t="s">
        <v>14</v>
      </c>
      <c r="D176">
        <v>51.4</v>
      </c>
      <c r="E176">
        <v>69</v>
      </c>
      <c r="F176">
        <v>3546.6</v>
      </c>
    </row>
    <row r="177" spans="1:6" x14ac:dyDescent="0.25">
      <c r="A177">
        <v>176</v>
      </c>
      <c r="B177" s="1">
        <v>45755</v>
      </c>
      <c r="C177" s="2" t="s">
        <v>18</v>
      </c>
      <c r="D177">
        <v>113.1</v>
      </c>
      <c r="E177">
        <v>71</v>
      </c>
      <c r="F177">
        <v>8030.0999999999995</v>
      </c>
    </row>
    <row r="178" spans="1:6" x14ac:dyDescent="0.25">
      <c r="A178">
        <v>177</v>
      </c>
      <c r="B178" s="1">
        <v>45815</v>
      </c>
      <c r="C178" s="2" t="s">
        <v>16</v>
      </c>
      <c r="D178">
        <v>15.74</v>
      </c>
      <c r="E178">
        <v>129</v>
      </c>
      <c r="F178">
        <v>2030.46</v>
      </c>
    </row>
    <row r="179" spans="1:6" x14ac:dyDescent="0.25">
      <c r="A179">
        <v>178</v>
      </c>
      <c r="B179" s="1">
        <v>45707</v>
      </c>
      <c r="C179" s="2" t="s">
        <v>6</v>
      </c>
      <c r="D179">
        <v>107.26</v>
      </c>
      <c r="E179">
        <v>163</v>
      </c>
      <c r="F179">
        <v>17483.38</v>
      </c>
    </row>
    <row r="180" spans="1:6" x14ac:dyDescent="0.25">
      <c r="A180">
        <v>179</v>
      </c>
      <c r="B180" s="1">
        <v>45801</v>
      </c>
      <c r="C180" s="2" t="s">
        <v>23</v>
      </c>
      <c r="D180">
        <v>4.67</v>
      </c>
      <c r="E180">
        <v>184</v>
      </c>
      <c r="F180">
        <v>859.28</v>
      </c>
    </row>
    <row r="181" spans="1:6" x14ac:dyDescent="0.25">
      <c r="A181">
        <v>180</v>
      </c>
      <c r="B181" s="1">
        <v>45811</v>
      </c>
      <c r="C181" s="2" t="s">
        <v>24</v>
      </c>
      <c r="D181">
        <v>60.12</v>
      </c>
      <c r="E181">
        <v>166</v>
      </c>
      <c r="F181">
        <v>9979.92</v>
      </c>
    </row>
    <row r="182" spans="1:6" x14ac:dyDescent="0.25">
      <c r="A182">
        <v>181</v>
      </c>
      <c r="B182" s="1">
        <v>45834</v>
      </c>
      <c r="C182" s="2" t="s">
        <v>16</v>
      </c>
      <c r="D182">
        <v>105.14</v>
      </c>
      <c r="E182">
        <v>125</v>
      </c>
      <c r="F182">
        <v>13142.5</v>
      </c>
    </row>
    <row r="183" spans="1:6" x14ac:dyDescent="0.25">
      <c r="A183">
        <v>182</v>
      </c>
      <c r="B183" s="1">
        <v>45765</v>
      </c>
      <c r="C183" s="2" t="s">
        <v>20</v>
      </c>
      <c r="D183">
        <v>26.2</v>
      </c>
      <c r="E183">
        <v>222</v>
      </c>
      <c r="F183">
        <v>5816.4</v>
      </c>
    </row>
    <row r="184" spans="1:6" x14ac:dyDescent="0.25">
      <c r="A184">
        <v>183</v>
      </c>
      <c r="B184" s="1">
        <v>45668</v>
      </c>
      <c r="C184" s="2" t="s">
        <v>27</v>
      </c>
      <c r="D184">
        <v>113.86</v>
      </c>
      <c r="E184">
        <v>89</v>
      </c>
      <c r="F184">
        <v>10133.539999999999</v>
      </c>
    </row>
    <row r="185" spans="1:6" x14ac:dyDescent="0.25">
      <c r="A185">
        <v>184</v>
      </c>
      <c r="B185" s="1">
        <v>45672</v>
      </c>
      <c r="C185" s="2" t="s">
        <v>10</v>
      </c>
      <c r="D185">
        <v>126.17</v>
      </c>
      <c r="E185">
        <v>132</v>
      </c>
      <c r="F185">
        <v>16654.439999999999</v>
      </c>
    </row>
    <row r="186" spans="1:6" x14ac:dyDescent="0.25">
      <c r="A186">
        <v>185</v>
      </c>
      <c r="B186" s="1">
        <v>45794</v>
      </c>
      <c r="C186" s="2" t="s">
        <v>24</v>
      </c>
      <c r="D186">
        <v>28.53</v>
      </c>
      <c r="E186">
        <v>182</v>
      </c>
      <c r="F186">
        <v>5192.46</v>
      </c>
    </row>
    <row r="187" spans="1:6" x14ac:dyDescent="0.25">
      <c r="A187">
        <v>186</v>
      </c>
      <c r="B187" s="1">
        <v>45707</v>
      </c>
      <c r="C187" s="2" t="s">
        <v>24</v>
      </c>
      <c r="D187">
        <v>58.61</v>
      </c>
      <c r="E187">
        <v>127</v>
      </c>
      <c r="F187">
        <v>7443.47</v>
      </c>
    </row>
    <row r="188" spans="1:6" x14ac:dyDescent="0.25">
      <c r="A188">
        <v>187</v>
      </c>
      <c r="B188" s="1">
        <v>45676</v>
      </c>
      <c r="C188" s="2" t="s">
        <v>16</v>
      </c>
      <c r="D188">
        <v>73.44</v>
      </c>
      <c r="E188">
        <v>25</v>
      </c>
      <c r="F188">
        <v>1836</v>
      </c>
    </row>
    <row r="189" spans="1:6" x14ac:dyDescent="0.25">
      <c r="A189">
        <v>188</v>
      </c>
      <c r="B189" s="1">
        <v>45726</v>
      </c>
      <c r="C189" s="2" t="s">
        <v>25</v>
      </c>
      <c r="D189">
        <v>27.7</v>
      </c>
      <c r="E189">
        <v>173</v>
      </c>
      <c r="F189">
        <v>4792.0999999999995</v>
      </c>
    </row>
    <row r="190" spans="1:6" x14ac:dyDescent="0.25">
      <c r="A190">
        <v>189</v>
      </c>
      <c r="B190" s="1">
        <v>45667</v>
      </c>
      <c r="C190" s="2" t="s">
        <v>17</v>
      </c>
      <c r="D190">
        <v>39.020000000000003</v>
      </c>
      <c r="E190">
        <v>162</v>
      </c>
      <c r="F190">
        <v>6321.2400000000007</v>
      </c>
    </row>
    <row r="191" spans="1:6" x14ac:dyDescent="0.25">
      <c r="A191">
        <v>190</v>
      </c>
      <c r="B191" s="1">
        <v>45806</v>
      </c>
      <c r="C191" s="2" t="s">
        <v>9</v>
      </c>
      <c r="D191">
        <v>82.52</v>
      </c>
      <c r="E191">
        <v>161</v>
      </c>
      <c r="F191">
        <v>13285.72</v>
      </c>
    </row>
    <row r="192" spans="1:6" x14ac:dyDescent="0.25">
      <c r="A192">
        <v>191</v>
      </c>
      <c r="B192" s="1">
        <v>45751</v>
      </c>
      <c r="C192" s="2" t="s">
        <v>15</v>
      </c>
      <c r="D192">
        <v>3.94</v>
      </c>
      <c r="E192">
        <v>275</v>
      </c>
      <c r="F192">
        <v>1083.5</v>
      </c>
    </row>
    <row r="193" spans="1:6" x14ac:dyDescent="0.25">
      <c r="A193">
        <v>192</v>
      </c>
      <c r="B193" s="1">
        <v>45681</v>
      </c>
      <c r="C193" s="2" t="s">
        <v>6</v>
      </c>
      <c r="D193">
        <v>96.57</v>
      </c>
      <c r="E193">
        <v>140</v>
      </c>
      <c r="F193">
        <v>13519.8</v>
      </c>
    </row>
    <row r="194" spans="1:6" x14ac:dyDescent="0.25">
      <c r="A194">
        <v>193</v>
      </c>
      <c r="B194" s="1">
        <v>45787</v>
      </c>
      <c r="C194" s="2" t="s">
        <v>11</v>
      </c>
      <c r="D194">
        <v>104.92</v>
      </c>
      <c r="E194">
        <v>18</v>
      </c>
      <c r="F194">
        <v>1888.56</v>
      </c>
    </row>
    <row r="195" spans="1:6" x14ac:dyDescent="0.25">
      <c r="A195">
        <v>194</v>
      </c>
      <c r="B195" s="1">
        <v>45816</v>
      </c>
      <c r="C195" s="2" t="s">
        <v>14</v>
      </c>
      <c r="D195">
        <v>121.89</v>
      </c>
      <c r="E195">
        <v>136</v>
      </c>
      <c r="F195">
        <v>16577.04</v>
      </c>
    </row>
    <row r="196" spans="1:6" x14ac:dyDescent="0.25">
      <c r="A196">
        <v>195</v>
      </c>
      <c r="B196" s="1">
        <v>45685</v>
      </c>
      <c r="C196" s="2" t="s">
        <v>20</v>
      </c>
      <c r="D196">
        <v>93.66</v>
      </c>
      <c r="E196">
        <v>179</v>
      </c>
      <c r="F196">
        <v>16765.14</v>
      </c>
    </row>
    <row r="197" spans="1:6" x14ac:dyDescent="0.25">
      <c r="A197">
        <v>196</v>
      </c>
      <c r="B197" s="1">
        <v>45760</v>
      </c>
      <c r="C197" s="2" t="s">
        <v>15</v>
      </c>
      <c r="D197">
        <v>8.77</v>
      </c>
      <c r="E197">
        <v>188</v>
      </c>
      <c r="F197">
        <v>1648.76</v>
      </c>
    </row>
    <row r="198" spans="1:6" x14ac:dyDescent="0.25">
      <c r="A198">
        <v>197</v>
      </c>
      <c r="B198" s="1">
        <v>45681</v>
      </c>
      <c r="C198" s="2" t="s">
        <v>27</v>
      </c>
      <c r="D198">
        <v>40.39</v>
      </c>
      <c r="E198">
        <v>48</v>
      </c>
      <c r="F198">
        <v>1938.72</v>
      </c>
    </row>
    <row r="199" spans="1:6" x14ac:dyDescent="0.25">
      <c r="A199">
        <v>198</v>
      </c>
      <c r="B199" s="1">
        <v>45778</v>
      </c>
      <c r="C199" s="2" t="s">
        <v>17</v>
      </c>
      <c r="D199">
        <v>85.26</v>
      </c>
      <c r="E199">
        <v>107</v>
      </c>
      <c r="F199">
        <v>9122.82</v>
      </c>
    </row>
    <row r="200" spans="1:6" x14ac:dyDescent="0.25">
      <c r="A200">
        <v>199</v>
      </c>
      <c r="B200" s="1">
        <v>45792</v>
      </c>
      <c r="C200" s="2" t="s">
        <v>27</v>
      </c>
      <c r="D200">
        <v>83.61</v>
      </c>
      <c r="E200">
        <v>212</v>
      </c>
      <c r="F200">
        <v>17725.32</v>
      </c>
    </row>
    <row r="201" spans="1:6" x14ac:dyDescent="0.25">
      <c r="A201">
        <v>200</v>
      </c>
      <c r="B201" s="1">
        <v>45723</v>
      </c>
      <c r="C201" s="2" t="s">
        <v>10</v>
      </c>
      <c r="D201">
        <v>79.17</v>
      </c>
      <c r="E201">
        <v>216</v>
      </c>
      <c r="F201">
        <v>17100.72</v>
      </c>
    </row>
    <row r="202" spans="1:6" x14ac:dyDescent="0.25">
      <c r="A202">
        <v>201</v>
      </c>
      <c r="B202" s="1">
        <v>45811</v>
      </c>
      <c r="C202" s="2" t="s">
        <v>30</v>
      </c>
      <c r="D202">
        <v>117.41</v>
      </c>
      <c r="E202">
        <v>52</v>
      </c>
      <c r="F202">
        <v>6105.32</v>
      </c>
    </row>
    <row r="203" spans="1:6" x14ac:dyDescent="0.25">
      <c r="A203">
        <v>202</v>
      </c>
      <c r="B203" s="1">
        <v>45805</v>
      </c>
      <c r="C203" s="2" t="s">
        <v>20</v>
      </c>
      <c r="D203">
        <v>84.36</v>
      </c>
      <c r="E203">
        <v>139</v>
      </c>
      <c r="F203">
        <v>11726.039999999999</v>
      </c>
    </row>
    <row r="204" spans="1:6" x14ac:dyDescent="0.25">
      <c r="A204">
        <v>203</v>
      </c>
      <c r="B204" s="1">
        <v>45778</v>
      </c>
      <c r="C204" s="2" t="s">
        <v>16</v>
      </c>
      <c r="D204">
        <v>94.06</v>
      </c>
      <c r="E204">
        <v>25</v>
      </c>
      <c r="F204">
        <v>2351.5</v>
      </c>
    </row>
    <row r="205" spans="1:6" x14ac:dyDescent="0.25">
      <c r="A205">
        <v>204</v>
      </c>
      <c r="B205" s="1">
        <v>45669</v>
      </c>
      <c r="C205" s="2" t="s">
        <v>14</v>
      </c>
      <c r="D205">
        <v>96.37</v>
      </c>
      <c r="E205">
        <v>59</v>
      </c>
      <c r="F205">
        <v>5685.83</v>
      </c>
    </row>
    <row r="206" spans="1:6" x14ac:dyDescent="0.25">
      <c r="A206">
        <v>205</v>
      </c>
      <c r="B206" s="1">
        <v>45670</v>
      </c>
      <c r="C206" s="2" t="s">
        <v>29</v>
      </c>
      <c r="D206">
        <v>64.540000000000006</v>
      </c>
      <c r="E206">
        <v>188</v>
      </c>
      <c r="F206">
        <v>12133.52</v>
      </c>
    </row>
    <row r="207" spans="1:6" x14ac:dyDescent="0.25">
      <c r="A207">
        <v>206</v>
      </c>
      <c r="B207" s="1">
        <v>45691</v>
      </c>
      <c r="C207" s="2" t="s">
        <v>6</v>
      </c>
      <c r="D207">
        <v>111.61</v>
      </c>
      <c r="E207">
        <v>74</v>
      </c>
      <c r="F207">
        <v>8259.14</v>
      </c>
    </row>
    <row r="208" spans="1:6" x14ac:dyDescent="0.25">
      <c r="A208">
        <v>207</v>
      </c>
      <c r="B208" s="1">
        <v>45743</v>
      </c>
      <c r="C208" s="2" t="s">
        <v>14</v>
      </c>
      <c r="D208">
        <v>34.47</v>
      </c>
      <c r="E208">
        <v>71</v>
      </c>
      <c r="F208">
        <v>2447.37</v>
      </c>
    </row>
    <row r="209" spans="1:6" x14ac:dyDescent="0.25">
      <c r="A209">
        <v>208</v>
      </c>
      <c r="B209" s="1">
        <v>45671</v>
      </c>
      <c r="C209" s="2" t="s">
        <v>19</v>
      </c>
      <c r="D209">
        <v>48.2</v>
      </c>
      <c r="E209">
        <v>135</v>
      </c>
      <c r="F209">
        <v>6507</v>
      </c>
    </row>
    <row r="210" spans="1:6" x14ac:dyDescent="0.25">
      <c r="A210">
        <v>209</v>
      </c>
      <c r="B210" s="1">
        <v>45752</v>
      </c>
      <c r="C210" s="2" t="s">
        <v>7</v>
      </c>
      <c r="D210">
        <v>92.44</v>
      </c>
      <c r="E210">
        <v>100</v>
      </c>
      <c r="F210">
        <v>9244</v>
      </c>
    </row>
    <row r="211" spans="1:6" x14ac:dyDescent="0.25">
      <c r="A211">
        <v>210</v>
      </c>
      <c r="B211" s="1">
        <v>45778</v>
      </c>
      <c r="C211" s="2" t="s">
        <v>18</v>
      </c>
      <c r="D211">
        <v>64.63</v>
      </c>
      <c r="E211">
        <v>109</v>
      </c>
      <c r="F211">
        <v>7044.6699999999992</v>
      </c>
    </row>
    <row r="212" spans="1:6" x14ac:dyDescent="0.25">
      <c r="A212">
        <v>211</v>
      </c>
      <c r="B212" s="1">
        <v>45700</v>
      </c>
      <c r="C212" s="2" t="s">
        <v>9</v>
      </c>
      <c r="D212">
        <v>51.05</v>
      </c>
      <c r="E212">
        <v>150</v>
      </c>
      <c r="F212">
        <v>7657.5</v>
      </c>
    </row>
    <row r="213" spans="1:6" x14ac:dyDescent="0.25">
      <c r="A213">
        <v>212</v>
      </c>
      <c r="B213" s="1">
        <v>45782</v>
      </c>
      <c r="C213" s="2" t="s">
        <v>17</v>
      </c>
      <c r="D213">
        <v>37.799999999999997</v>
      </c>
      <c r="E213">
        <v>57</v>
      </c>
      <c r="F213">
        <v>2154.6</v>
      </c>
    </row>
    <row r="214" spans="1:6" x14ac:dyDescent="0.25">
      <c r="A214">
        <v>213</v>
      </c>
      <c r="B214" s="1">
        <v>45766</v>
      </c>
      <c r="C214" s="2" t="s">
        <v>24</v>
      </c>
      <c r="D214">
        <v>64.569999999999993</v>
      </c>
      <c r="E214">
        <v>195</v>
      </c>
      <c r="F214">
        <v>12591.149999999998</v>
      </c>
    </row>
    <row r="215" spans="1:6" x14ac:dyDescent="0.25">
      <c r="A215">
        <v>214</v>
      </c>
      <c r="B215" s="1">
        <v>45782</v>
      </c>
      <c r="C215" s="2" t="s">
        <v>30</v>
      </c>
      <c r="D215">
        <v>141.75</v>
      </c>
      <c r="E215">
        <v>153</v>
      </c>
      <c r="F215">
        <v>21687.75</v>
      </c>
    </row>
    <row r="216" spans="1:6" x14ac:dyDescent="0.25">
      <c r="A216">
        <v>215</v>
      </c>
      <c r="B216" s="1">
        <v>45755</v>
      </c>
      <c r="C216" s="2" t="s">
        <v>15</v>
      </c>
      <c r="D216">
        <v>62.35</v>
      </c>
      <c r="E216">
        <v>130</v>
      </c>
      <c r="F216">
        <v>8105.5</v>
      </c>
    </row>
    <row r="217" spans="1:6" x14ac:dyDescent="0.25">
      <c r="A217">
        <v>216</v>
      </c>
      <c r="B217" s="1">
        <v>45701</v>
      </c>
      <c r="C217" s="2" t="s">
        <v>18</v>
      </c>
      <c r="D217">
        <v>33.619999999999997</v>
      </c>
      <c r="E217">
        <v>49</v>
      </c>
      <c r="F217">
        <v>1647.3799999999999</v>
      </c>
    </row>
    <row r="218" spans="1:6" x14ac:dyDescent="0.25">
      <c r="A218">
        <v>217</v>
      </c>
      <c r="B218" s="1">
        <v>45669</v>
      </c>
      <c r="C218" s="2" t="s">
        <v>22</v>
      </c>
      <c r="D218">
        <v>98.67</v>
      </c>
      <c r="E218">
        <v>166</v>
      </c>
      <c r="F218">
        <v>16379.220000000001</v>
      </c>
    </row>
    <row r="219" spans="1:6" x14ac:dyDescent="0.25">
      <c r="A219">
        <v>218</v>
      </c>
      <c r="B219" s="1">
        <v>45675</v>
      </c>
      <c r="C219" s="2" t="s">
        <v>22</v>
      </c>
      <c r="D219">
        <v>8.6</v>
      </c>
      <c r="E219">
        <v>148</v>
      </c>
      <c r="F219">
        <v>1272.8</v>
      </c>
    </row>
    <row r="220" spans="1:6" x14ac:dyDescent="0.25">
      <c r="A220">
        <v>219</v>
      </c>
      <c r="B220" s="1">
        <v>45744</v>
      </c>
      <c r="C220" s="2" t="s">
        <v>29</v>
      </c>
      <c r="D220">
        <v>13.72</v>
      </c>
      <c r="E220">
        <v>127</v>
      </c>
      <c r="F220">
        <v>1742.44</v>
      </c>
    </row>
    <row r="221" spans="1:6" x14ac:dyDescent="0.25">
      <c r="A221">
        <v>220</v>
      </c>
      <c r="B221" s="1">
        <v>45744</v>
      </c>
      <c r="C221" s="2" t="s">
        <v>9</v>
      </c>
      <c r="D221">
        <v>138.88</v>
      </c>
      <c r="E221">
        <v>147</v>
      </c>
      <c r="F221">
        <v>20415.36</v>
      </c>
    </row>
    <row r="222" spans="1:6" x14ac:dyDescent="0.25">
      <c r="A222">
        <v>221</v>
      </c>
      <c r="B222" s="1">
        <v>45815</v>
      </c>
      <c r="C222" s="2" t="s">
        <v>28</v>
      </c>
      <c r="D222">
        <v>12.37</v>
      </c>
      <c r="E222">
        <v>89</v>
      </c>
      <c r="F222">
        <v>1100.9299999999998</v>
      </c>
    </row>
    <row r="223" spans="1:6" x14ac:dyDescent="0.25">
      <c r="A223">
        <v>222</v>
      </c>
      <c r="B223" s="1">
        <v>45765</v>
      </c>
      <c r="C223" s="2" t="s">
        <v>12</v>
      </c>
      <c r="D223">
        <v>24.87</v>
      </c>
      <c r="E223">
        <v>143</v>
      </c>
      <c r="F223">
        <v>3556.4100000000003</v>
      </c>
    </row>
    <row r="224" spans="1:6" x14ac:dyDescent="0.25">
      <c r="A224">
        <v>223</v>
      </c>
      <c r="B224" s="1">
        <v>45787</v>
      </c>
      <c r="C224" s="2" t="s">
        <v>22</v>
      </c>
      <c r="D224">
        <v>42.81</v>
      </c>
      <c r="E224">
        <v>86</v>
      </c>
      <c r="F224">
        <v>3681.6600000000003</v>
      </c>
    </row>
    <row r="225" spans="1:6" x14ac:dyDescent="0.25">
      <c r="A225">
        <v>224</v>
      </c>
      <c r="B225" s="1">
        <v>45797</v>
      </c>
      <c r="C225" s="2" t="s">
        <v>15</v>
      </c>
      <c r="D225">
        <v>127.86</v>
      </c>
      <c r="E225">
        <v>83</v>
      </c>
      <c r="F225">
        <v>10612.38</v>
      </c>
    </row>
    <row r="226" spans="1:6" x14ac:dyDescent="0.25">
      <c r="A226">
        <v>225</v>
      </c>
      <c r="B226" s="1">
        <v>45720</v>
      </c>
      <c r="C226" s="2" t="s">
        <v>9</v>
      </c>
      <c r="D226">
        <v>46.11</v>
      </c>
      <c r="E226">
        <v>126</v>
      </c>
      <c r="F226">
        <v>5809.86</v>
      </c>
    </row>
    <row r="227" spans="1:6" x14ac:dyDescent="0.25">
      <c r="A227">
        <v>226</v>
      </c>
      <c r="B227" s="1">
        <v>45774</v>
      </c>
      <c r="C227" s="2" t="s">
        <v>8</v>
      </c>
      <c r="D227">
        <v>73.11</v>
      </c>
      <c r="E227">
        <v>131</v>
      </c>
      <c r="F227">
        <v>9577.41</v>
      </c>
    </row>
    <row r="228" spans="1:6" x14ac:dyDescent="0.25">
      <c r="A228">
        <v>227</v>
      </c>
      <c r="B228" s="1">
        <v>45742</v>
      </c>
      <c r="C228" s="2" t="s">
        <v>20</v>
      </c>
      <c r="D228">
        <v>15.59</v>
      </c>
      <c r="E228">
        <v>183</v>
      </c>
      <c r="F228">
        <v>2852.97</v>
      </c>
    </row>
    <row r="229" spans="1:6" x14ac:dyDescent="0.25">
      <c r="A229">
        <v>228</v>
      </c>
      <c r="B229" s="1">
        <v>45746</v>
      </c>
      <c r="C229" s="2" t="s">
        <v>15</v>
      </c>
      <c r="D229">
        <v>70.64</v>
      </c>
      <c r="E229">
        <v>103</v>
      </c>
      <c r="F229">
        <v>7275.92</v>
      </c>
    </row>
    <row r="230" spans="1:6" x14ac:dyDescent="0.25">
      <c r="A230">
        <v>229</v>
      </c>
      <c r="B230" s="1">
        <v>45786</v>
      </c>
      <c r="C230" s="2" t="s">
        <v>23</v>
      </c>
      <c r="D230">
        <v>19.3</v>
      </c>
      <c r="E230">
        <v>162</v>
      </c>
      <c r="F230">
        <v>3126.6</v>
      </c>
    </row>
    <row r="231" spans="1:6" x14ac:dyDescent="0.25">
      <c r="A231">
        <v>230</v>
      </c>
      <c r="B231" s="1">
        <v>45678</v>
      </c>
      <c r="C231" s="2" t="s">
        <v>29</v>
      </c>
      <c r="D231">
        <v>107.96</v>
      </c>
      <c r="E231">
        <v>111</v>
      </c>
      <c r="F231">
        <v>11983.56</v>
      </c>
    </row>
    <row r="232" spans="1:6" x14ac:dyDescent="0.25">
      <c r="A232">
        <v>231</v>
      </c>
      <c r="B232" s="1">
        <v>45725</v>
      </c>
      <c r="C232" s="2" t="s">
        <v>6</v>
      </c>
      <c r="D232">
        <v>69.5</v>
      </c>
      <c r="E232">
        <v>58</v>
      </c>
      <c r="F232">
        <v>4031</v>
      </c>
    </row>
    <row r="233" spans="1:6" x14ac:dyDescent="0.25">
      <c r="A233">
        <v>232</v>
      </c>
      <c r="B233" s="1">
        <v>45689</v>
      </c>
      <c r="C233" s="2" t="s">
        <v>9</v>
      </c>
      <c r="D233">
        <v>4.1399999999999997</v>
      </c>
      <c r="E233">
        <v>207</v>
      </c>
      <c r="F233">
        <v>856.9799999999999</v>
      </c>
    </row>
    <row r="234" spans="1:6" x14ac:dyDescent="0.25">
      <c r="A234">
        <v>233</v>
      </c>
      <c r="B234" s="1">
        <v>45837</v>
      </c>
      <c r="C234" s="2" t="s">
        <v>6</v>
      </c>
      <c r="D234">
        <v>62.07</v>
      </c>
      <c r="E234">
        <v>173</v>
      </c>
      <c r="F234">
        <v>10738.11</v>
      </c>
    </row>
    <row r="235" spans="1:6" x14ac:dyDescent="0.25">
      <c r="A235">
        <v>234</v>
      </c>
      <c r="B235" s="1">
        <v>45690</v>
      </c>
      <c r="C235" s="2" t="s">
        <v>26</v>
      </c>
      <c r="D235">
        <v>23.06</v>
      </c>
      <c r="E235">
        <v>168</v>
      </c>
      <c r="F235">
        <v>3874.08</v>
      </c>
    </row>
    <row r="236" spans="1:6" x14ac:dyDescent="0.25">
      <c r="A236">
        <v>235</v>
      </c>
      <c r="B236" s="1">
        <v>45719</v>
      </c>
      <c r="C236" s="2" t="s">
        <v>24</v>
      </c>
      <c r="D236">
        <v>54.35</v>
      </c>
      <c r="E236">
        <v>120</v>
      </c>
      <c r="F236">
        <v>6522</v>
      </c>
    </row>
    <row r="237" spans="1:6" x14ac:dyDescent="0.25">
      <c r="A237">
        <v>236</v>
      </c>
      <c r="B237" s="1">
        <v>45679</v>
      </c>
      <c r="C237" s="2" t="s">
        <v>24</v>
      </c>
      <c r="D237">
        <v>7.84</v>
      </c>
      <c r="E237">
        <v>42</v>
      </c>
      <c r="F237">
        <v>329.28</v>
      </c>
    </row>
    <row r="238" spans="1:6" x14ac:dyDescent="0.25">
      <c r="A238">
        <v>237</v>
      </c>
      <c r="B238" s="1">
        <v>45724</v>
      </c>
      <c r="C238" s="2" t="s">
        <v>30</v>
      </c>
      <c r="D238">
        <v>73.150000000000006</v>
      </c>
      <c r="E238">
        <v>59</v>
      </c>
      <c r="F238">
        <v>4315.8500000000004</v>
      </c>
    </row>
    <row r="239" spans="1:6" x14ac:dyDescent="0.25">
      <c r="A239">
        <v>238</v>
      </c>
      <c r="B239" s="1">
        <v>45825</v>
      </c>
      <c r="C239" s="2" t="s">
        <v>27</v>
      </c>
      <c r="D239">
        <v>40.47</v>
      </c>
      <c r="E239">
        <v>156</v>
      </c>
      <c r="F239">
        <v>6313.32</v>
      </c>
    </row>
    <row r="240" spans="1:6" x14ac:dyDescent="0.25">
      <c r="A240">
        <v>239</v>
      </c>
      <c r="B240" s="1">
        <v>45688</v>
      </c>
      <c r="C240" s="2" t="s">
        <v>20</v>
      </c>
      <c r="D240">
        <v>73.48</v>
      </c>
      <c r="E240">
        <v>115</v>
      </c>
      <c r="F240">
        <v>8450.2000000000007</v>
      </c>
    </row>
    <row r="241" spans="1:6" x14ac:dyDescent="0.25">
      <c r="A241">
        <v>240</v>
      </c>
      <c r="B241" s="1">
        <v>45746</v>
      </c>
      <c r="C241" s="2" t="s">
        <v>6</v>
      </c>
      <c r="D241">
        <v>29.8</v>
      </c>
      <c r="E241">
        <v>22</v>
      </c>
      <c r="F241">
        <v>655.6</v>
      </c>
    </row>
    <row r="242" spans="1:6" x14ac:dyDescent="0.25">
      <c r="A242">
        <v>241</v>
      </c>
      <c r="B242" s="1">
        <v>45822</v>
      </c>
      <c r="C242" s="2" t="s">
        <v>8</v>
      </c>
      <c r="D242">
        <v>48.19</v>
      </c>
      <c r="E242">
        <v>39</v>
      </c>
      <c r="F242">
        <v>1879.4099999999999</v>
      </c>
    </row>
    <row r="243" spans="1:6" x14ac:dyDescent="0.25">
      <c r="A243">
        <v>242</v>
      </c>
      <c r="B243" s="1">
        <v>45731</v>
      </c>
      <c r="C243" s="2" t="s">
        <v>9</v>
      </c>
      <c r="D243">
        <v>64.150000000000006</v>
      </c>
      <c r="E243">
        <v>29</v>
      </c>
      <c r="F243">
        <v>1860.3500000000001</v>
      </c>
    </row>
    <row r="244" spans="1:6" x14ac:dyDescent="0.25">
      <c r="A244">
        <v>243</v>
      </c>
      <c r="B244" s="1">
        <v>45758</v>
      </c>
      <c r="C244" s="2" t="s">
        <v>11</v>
      </c>
      <c r="D244">
        <v>61.28</v>
      </c>
      <c r="E244">
        <v>163</v>
      </c>
      <c r="F244">
        <v>9988.64</v>
      </c>
    </row>
    <row r="245" spans="1:6" x14ac:dyDescent="0.25">
      <c r="A245">
        <v>244</v>
      </c>
      <c r="B245" s="1">
        <v>45819</v>
      </c>
      <c r="C245" s="2" t="s">
        <v>8</v>
      </c>
      <c r="D245">
        <v>116.79</v>
      </c>
      <c r="E245">
        <v>43</v>
      </c>
      <c r="F245">
        <v>5021.97</v>
      </c>
    </row>
    <row r="246" spans="1:6" x14ac:dyDescent="0.25">
      <c r="A246">
        <v>245</v>
      </c>
      <c r="B246" s="1">
        <v>45674</v>
      </c>
      <c r="C246" s="2" t="s">
        <v>16</v>
      </c>
      <c r="D246">
        <v>59.66</v>
      </c>
      <c r="E246">
        <v>131</v>
      </c>
      <c r="F246">
        <v>7815.4599999999991</v>
      </c>
    </row>
    <row r="247" spans="1:6" x14ac:dyDescent="0.25">
      <c r="A247">
        <v>246</v>
      </c>
      <c r="B247" s="1">
        <v>45758</v>
      </c>
      <c r="C247" s="2" t="s">
        <v>10</v>
      </c>
      <c r="D247">
        <v>58.58</v>
      </c>
      <c r="E247">
        <v>165</v>
      </c>
      <c r="F247">
        <v>9665.6999999999989</v>
      </c>
    </row>
    <row r="248" spans="1:6" x14ac:dyDescent="0.25">
      <c r="A248">
        <v>247</v>
      </c>
      <c r="B248" s="1">
        <v>45763</v>
      </c>
      <c r="C248" s="2" t="s">
        <v>8</v>
      </c>
      <c r="D248">
        <v>9.3000000000000007</v>
      </c>
      <c r="E248">
        <v>152</v>
      </c>
      <c r="F248">
        <v>1413.6000000000001</v>
      </c>
    </row>
    <row r="249" spans="1:6" x14ac:dyDescent="0.25">
      <c r="A249">
        <v>248</v>
      </c>
      <c r="B249" s="1">
        <v>45809</v>
      </c>
      <c r="C249" s="2" t="s">
        <v>15</v>
      </c>
      <c r="D249">
        <v>40.4</v>
      </c>
      <c r="E249">
        <v>174</v>
      </c>
      <c r="F249">
        <v>7029.5999999999995</v>
      </c>
    </row>
    <row r="250" spans="1:6" x14ac:dyDescent="0.25">
      <c r="A250">
        <v>249</v>
      </c>
      <c r="B250" s="1">
        <v>45667</v>
      </c>
      <c r="C250" s="2" t="s">
        <v>13</v>
      </c>
      <c r="D250">
        <v>51.3</v>
      </c>
      <c r="E250">
        <v>125</v>
      </c>
      <c r="F250">
        <v>6412.5</v>
      </c>
    </row>
    <row r="251" spans="1:6" x14ac:dyDescent="0.25">
      <c r="A251">
        <v>250</v>
      </c>
      <c r="B251" s="1">
        <v>45807</v>
      </c>
      <c r="C251" s="2" t="s">
        <v>30</v>
      </c>
      <c r="D251">
        <v>43.54</v>
      </c>
      <c r="E251">
        <v>46</v>
      </c>
      <c r="F251">
        <v>2002.84</v>
      </c>
    </row>
    <row r="252" spans="1:6" x14ac:dyDescent="0.25">
      <c r="A252">
        <v>251</v>
      </c>
      <c r="B252" s="1">
        <v>45789</v>
      </c>
      <c r="C252" s="2" t="s">
        <v>13</v>
      </c>
      <c r="D252">
        <v>78.91</v>
      </c>
      <c r="E252">
        <v>61</v>
      </c>
      <c r="F252">
        <v>4813.51</v>
      </c>
    </row>
    <row r="253" spans="1:6" x14ac:dyDescent="0.25">
      <c r="A253">
        <v>252</v>
      </c>
      <c r="B253" s="1">
        <v>45718</v>
      </c>
      <c r="C253" s="2" t="s">
        <v>21</v>
      </c>
      <c r="D253">
        <v>32.979999999999997</v>
      </c>
      <c r="E253">
        <v>164</v>
      </c>
      <c r="F253">
        <v>5408.7199999999993</v>
      </c>
    </row>
    <row r="254" spans="1:6" x14ac:dyDescent="0.25">
      <c r="A254">
        <v>253</v>
      </c>
      <c r="B254" s="1">
        <v>45805</v>
      </c>
      <c r="C254" s="2" t="s">
        <v>24</v>
      </c>
      <c r="D254">
        <v>22.38</v>
      </c>
      <c r="E254">
        <v>171</v>
      </c>
      <c r="F254">
        <v>3826.98</v>
      </c>
    </row>
    <row r="255" spans="1:6" x14ac:dyDescent="0.25">
      <c r="A255">
        <v>254</v>
      </c>
      <c r="B255" s="1">
        <v>45701</v>
      </c>
      <c r="C255" s="2" t="s">
        <v>19</v>
      </c>
      <c r="D255">
        <v>75.86</v>
      </c>
      <c r="E255">
        <v>136</v>
      </c>
      <c r="F255">
        <v>10316.959999999999</v>
      </c>
    </row>
    <row r="256" spans="1:6" x14ac:dyDescent="0.25">
      <c r="A256">
        <v>255</v>
      </c>
      <c r="B256" s="1">
        <v>45702</v>
      </c>
      <c r="C256" s="2" t="s">
        <v>22</v>
      </c>
      <c r="D256">
        <v>11.58</v>
      </c>
      <c r="E256">
        <v>212</v>
      </c>
      <c r="F256">
        <v>2454.96</v>
      </c>
    </row>
    <row r="257" spans="1:6" x14ac:dyDescent="0.25">
      <c r="A257">
        <v>256</v>
      </c>
      <c r="B257" s="1">
        <v>45670</v>
      </c>
      <c r="C257" s="2" t="s">
        <v>17</v>
      </c>
      <c r="D257">
        <v>48.55</v>
      </c>
      <c r="E257">
        <v>111</v>
      </c>
      <c r="F257">
        <v>5389.0499999999993</v>
      </c>
    </row>
    <row r="258" spans="1:6" x14ac:dyDescent="0.25">
      <c r="A258">
        <v>257</v>
      </c>
      <c r="B258" s="1">
        <v>45682</v>
      </c>
      <c r="C258" s="2" t="s">
        <v>23</v>
      </c>
      <c r="D258">
        <v>86.44</v>
      </c>
      <c r="E258">
        <v>232</v>
      </c>
      <c r="F258">
        <v>20054.079999999998</v>
      </c>
    </row>
    <row r="259" spans="1:6" x14ac:dyDescent="0.25">
      <c r="A259">
        <v>258</v>
      </c>
      <c r="B259" s="1">
        <v>45698</v>
      </c>
      <c r="C259" s="2" t="s">
        <v>16</v>
      </c>
      <c r="D259">
        <v>29.44</v>
      </c>
      <c r="E259">
        <v>120</v>
      </c>
      <c r="F259">
        <v>3532.8</v>
      </c>
    </row>
    <row r="260" spans="1:6" x14ac:dyDescent="0.25">
      <c r="A260">
        <v>259</v>
      </c>
      <c r="B260" s="1">
        <v>45755</v>
      </c>
      <c r="C260" s="2" t="s">
        <v>24</v>
      </c>
      <c r="D260">
        <v>125.95</v>
      </c>
      <c r="E260">
        <v>66</v>
      </c>
      <c r="F260">
        <v>8312.7000000000007</v>
      </c>
    </row>
    <row r="261" spans="1:6" x14ac:dyDescent="0.25">
      <c r="A261">
        <v>260</v>
      </c>
      <c r="B261" s="1">
        <v>45689</v>
      </c>
      <c r="C261" s="2" t="s">
        <v>26</v>
      </c>
      <c r="D261">
        <v>86.81</v>
      </c>
      <c r="E261">
        <v>113</v>
      </c>
      <c r="F261">
        <v>9809.5300000000007</v>
      </c>
    </row>
    <row r="262" spans="1:6" x14ac:dyDescent="0.25">
      <c r="A262">
        <v>261</v>
      </c>
      <c r="B262" s="1">
        <v>45719</v>
      </c>
      <c r="C262" s="2" t="s">
        <v>30</v>
      </c>
      <c r="D262">
        <v>134.57</v>
      </c>
      <c r="E262">
        <v>31</v>
      </c>
      <c r="F262">
        <v>4171.67</v>
      </c>
    </row>
    <row r="263" spans="1:6" x14ac:dyDescent="0.25">
      <c r="A263">
        <v>262</v>
      </c>
      <c r="B263" s="1">
        <v>45691</v>
      </c>
      <c r="C263" s="2" t="s">
        <v>20</v>
      </c>
      <c r="D263">
        <v>54.37</v>
      </c>
      <c r="E263">
        <v>54</v>
      </c>
      <c r="F263">
        <v>2935.98</v>
      </c>
    </row>
    <row r="264" spans="1:6" x14ac:dyDescent="0.25">
      <c r="A264">
        <v>263</v>
      </c>
      <c r="B264" s="1">
        <v>45739</v>
      </c>
      <c r="C264" s="2" t="s">
        <v>11</v>
      </c>
      <c r="D264">
        <v>81.59</v>
      </c>
      <c r="E264">
        <v>119</v>
      </c>
      <c r="F264">
        <v>9709.2100000000009</v>
      </c>
    </row>
    <row r="265" spans="1:6" x14ac:dyDescent="0.25">
      <c r="A265">
        <v>264</v>
      </c>
      <c r="B265" s="1">
        <v>45801</v>
      </c>
      <c r="C265" s="2" t="s">
        <v>19</v>
      </c>
      <c r="D265">
        <v>16.329999999999998</v>
      </c>
      <c r="E265">
        <v>165</v>
      </c>
      <c r="F265">
        <v>2694.45</v>
      </c>
    </row>
    <row r="266" spans="1:6" x14ac:dyDescent="0.25">
      <c r="A266">
        <v>265</v>
      </c>
      <c r="B266" s="1">
        <v>45661</v>
      </c>
      <c r="C266" s="2" t="s">
        <v>23</v>
      </c>
      <c r="D266">
        <v>41.42</v>
      </c>
      <c r="E266">
        <v>27</v>
      </c>
      <c r="F266">
        <v>1118.3400000000001</v>
      </c>
    </row>
    <row r="267" spans="1:6" x14ac:dyDescent="0.25">
      <c r="A267">
        <v>266</v>
      </c>
      <c r="B267" s="1">
        <v>45722</v>
      </c>
      <c r="C267" s="2" t="s">
        <v>22</v>
      </c>
      <c r="D267">
        <v>71.95</v>
      </c>
      <c r="E267">
        <v>219</v>
      </c>
      <c r="F267">
        <v>15757.050000000001</v>
      </c>
    </row>
    <row r="268" spans="1:6" x14ac:dyDescent="0.25">
      <c r="A268">
        <v>267</v>
      </c>
      <c r="B268" s="1">
        <v>45827</v>
      </c>
      <c r="C268" s="2" t="s">
        <v>11</v>
      </c>
      <c r="D268">
        <v>13.59</v>
      </c>
      <c r="E268">
        <v>192</v>
      </c>
      <c r="F268">
        <v>2609.2799999999997</v>
      </c>
    </row>
    <row r="269" spans="1:6" x14ac:dyDescent="0.25">
      <c r="A269">
        <v>268</v>
      </c>
      <c r="B269" s="1">
        <v>45737</v>
      </c>
      <c r="C269" s="2" t="s">
        <v>24</v>
      </c>
      <c r="D269">
        <v>112.07</v>
      </c>
      <c r="E269">
        <v>45</v>
      </c>
      <c r="F269">
        <v>5043.1499999999996</v>
      </c>
    </row>
    <row r="270" spans="1:6" x14ac:dyDescent="0.25">
      <c r="A270">
        <v>269</v>
      </c>
      <c r="B270" s="1">
        <v>45822</v>
      </c>
      <c r="C270" s="2" t="s">
        <v>8</v>
      </c>
      <c r="D270">
        <v>48.62</v>
      </c>
      <c r="E270">
        <v>175</v>
      </c>
      <c r="F270">
        <v>8508.5</v>
      </c>
    </row>
    <row r="271" spans="1:6" x14ac:dyDescent="0.25">
      <c r="A271">
        <v>270</v>
      </c>
      <c r="B271" s="1">
        <v>45802</v>
      </c>
      <c r="C271" s="2" t="s">
        <v>9</v>
      </c>
      <c r="D271">
        <v>25.23</v>
      </c>
      <c r="E271">
        <v>154</v>
      </c>
      <c r="F271">
        <v>3885.42</v>
      </c>
    </row>
    <row r="272" spans="1:6" x14ac:dyDescent="0.25">
      <c r="A272">
        <v>271</v>
      </c>
      <c r="B272" s="1">
        <v>45690</v>
      </c>
      <c r="C272" s="2" t="s">
        <v>19</v>
      </c>
      <c r="D272">
        <v>17.36</v>
      </c>
      <c r="E272">
        <v>65</v>
      </c>
      <c r="F272">
        <v>1128.3999999999999</v>
      </c>
    </row>
    <row r="273" spans="1:6" x14ac:dyDescent="0.25">
      <c r="A273">
        <v>272</v>
      </c>
      <c r="B273" s="1">
        <v>45718</v>
      </c>
      <c r="C273" s="2" t="s">
        <v>9</v>
      </c>
      <c r="D273">
        <v>11.01</v>
      </c>
      <c r="E273">
        <v>59</v>
      </c>
      <c r="F273">
        <v>649.59</v>
      </c>
    </row>
    <row r="274" spans="1:6" x14ac:dyDescent="0.25">
      <c r="A274">
        <v>273</v>
      </c>
      <c r="B274" s="1">
        <v>45659</v>
      </c>
      <c r="C274" s="2" t="s">
        <v>22</v>
      </c>
      <c r="D274">
        <v>52.62</v>
      </c>
      <c r="E274">
        <v>97</v>
      </c>
      <c r="F274">
        <v>5104.1399999999994</v>
      </c>
    </row>
    <row r="275" spans="1:6" x14ac:dyDescent="0.25">
      <c r="A275">
        <v>274</v>
      </c>
      <c r="B275" s="1">
        <v>45677</v>
      </c>
      <c r="C275" s="2" t="s">
        <v>16</v>
      </c>
      <c r="D275">
        <v>10.41</v>
      </c>
      <c r="E275">
        <v>130</v>
      </c>
      <c r="F275">
        <v>1353.3</v>
      </c>
    </row>
    <row r="276" spans="1:6" x14ac:dyDescent="0.25">
      <c r="A276">
        <v>275</v>
      </c>
      <c r="B276" s="1">
        <v>45695</v>
      </c>
      <c r="C276" s="2" t="s">
        <v>26</v>
      </c>
      <c r="D276">
        <v>67.95</v>
      </c>
      <c r="E276">
        <v>35</v>
      </c>
      <c r="F276">
        <v>2378.25</v>
      </c>
    </row>
    <row r="277" spans="1:6" x14ac:dyDescent="0.25">
      <c r="A277">
        <v>276</v>
      </c>
      <c r="B277" s="1">
        <v>45702</v>
      </c>
      <c r="C277" s="2" t="s">
        <v>21</v>
      </c>
      <c r="D277">
        <v>146.94</v>
      </c>
      <c r="E277">
        <v>119</v>
      </c>
      <c r="F277">
        <v>17485.86</v>
      </c>
    </row>
    <row r="278" spans="1:6" x14ac:dyDescent="0.25">
      <c r="A278">
        <v>277</v>
      </c>
      <c r="B278" s="1">
        <v>45804</v>
      </c>
      <c r="C278" s="2" t="s">
        <v>6</v>
      </c>
      <c r="D278">
        <v>135.13</v>
      </c>
      <c r="E278">
        <v>70</v>
      </c>
      <c r="F278">
        <v>9459.1</v>
      </c>
    </row>
    <row r="279" spans="1:6" x14ac:dyDescent="0.25">
      <c r="A279">
        <v>278</v>
      </c>
      <c r="B279" s="1">
        <v>45686</v>
      </c>
      <c r="C279" s="2" t="s">
        <v>30</v>
      </c>
      <c r="D279">
        <v>71.23</v>
      </c>
      <c r="E279">
        <v>66</v>
      </c>
      <c r="F279">
        <v>4701.18</v>
      </c>
    </row>
    <row r="280" spans="1:6" x14ac:dyDescent="0.25">
      <c r="A280">
        <v>279</v>
      </c>
      <c r="B280" s="1">
        <v>45683</v>
      </c>
      <c r="C280" s="2" t="s">
        <v>26</v>
      </c>
      <c r="D280">
        <v>108.33</v>
      </c>
      <c r="E280">
        <v>172</v>
      </c>
      <c r="F280">
        <v>18632.759999999998</v>
      </c>
    </row>
    <row r="281" spans="1:6" x14ac:dyDescent="0.25">
      <c r="A281">
        <v>280</v>
      </c>
      <c r="B281" s="1">
        <v>45801</v>
      </c>
      <c r="C281" s="2" t="s">
        <v>21</v>
      </c>
      <c r="D281">
        <v>134.1</v>
      </c>
      <c r="E281">
        <v>143</v>
      </c>
      <c r="F281">
        <v>19176.3</v>
      </c>
    </row>
    <row r="282" spans="1:6" x14ac:dyDescent="0.25">
      <c r="A282">
        <v>281</v>
      </c>
      <c r="B282" s="1">
        <v>45706</v>
      </c>
      <c r="C282" s="2" t="s">
        <v>27</v>
      </c>
      <c r="D282">
        <v>72.89</v>
      </c>
      <c r="E282">
        <v>140</v>
      </c>
      <c r="F282">
        <v>10204.6</v>
      </c>
    </row>
    <row r="283" spans="1:6" x14ac:dyDescent="0.25">
      <c r="A283">
        <v>282</v>
      </c>
      <c r="B283" s="1">
        <v>45685</v>
      </c>
      <c r="C283" s="2" t="s">
        <v>6</v>
      </c>
      <c r="D283">
        <v>28.93</v>
      </c>
      <c r="E283">
        <v>101</v>
      </c>
      <c r="F283">
        <v>2921.93</v>
      </c>
    </row>
    <row r="284" spans="1:6" x14ac:dyDescent="0.25">
      <c r="A284">
        <v>283</v>
      </c>
      <c r="B284" s="1">
        <v>45768</v>
      </c>
      <c r="C284" s="2" t="s">
        <v>21</v>
      </c>
      <c r="D284">
        <v>122.22</v>
      </c>
      <c r="E284">
        <v>42</v>
      </c>
      <c r="F284">
        <v>5133.24</v>
      </c>
    </row>
    <row r="285" spans="1:6" x14ac:dyDescent="0.25">
      <c r="A285">
        <v>284</v>
      </c>
      <c r="B285" s="1">
        <v>45742</v>
      </c>
      <c r="C285" s="2" t="s">
        <v>6</v>
      </c>
      <c r="D285">
        <v>27.17</v>
      </c>
      <c r="E285">
        <v>249</v>
      </c>
      <c r="F285">
        <v>6765.3300000000008</v>
      </c>
    </row>
    <row r="286" spans="1:6" x14ac:dyDescent="0.25">
      <c r="A286">
        <v>285</v>
      </c>
      <c r="B286" s="1">
        <v>45660</v>
      </c>
      <c r="C286" s="2" t="s">
        <v>12</v>
      </c>
      <c r="D286">
        <v>146.24</v>
      </c>
      <c r="E286">
        <v>138</v>
      </c>
      <c r="F286">
        <v>20181.120000000003</v>
      </c>
    </row>
    <row r="287" spans="1:6" x14ac:dyDescent="0.25">
      <c r="A287">
        <v>286</v>
      </c>
      <c r="B287" s="1">
        <v>45738</v>
      </c>
      <c r="C287" s="2" t="s">
        <v>11</v>
      </c>
      <c r="D287">
        <v>23.84</v>
      </c>
      <c r="E287">
        <v>20</v>
      </c>
      <c r="F287">
        <v>476.8</v>
      </c>
    </row>
    <row r="288" spans="1:6" x14ac:dyDescent="0.25">
      <c r="A288">
        <v>287</v>
      </c>
      <c r="B288" s="1">
        <v>45666</v>
      </c>
      <c r="C288" s="2" t="s">
        <v>7</v>
      </c>
      <c r="D288">
        <v>10.62</v>
      </c>
      <c r="E288">
        <v>168</v>
      </c>
      <c r="F288">
        <v>1784.1599999999999</v>
      </c>
    </row>
    <row r="289" spans="1:6" x14ac:dyDescent="0.25">
      <c r="A289">
        <v>288</v>
      </c>
      <c r="B289" s="1">
        <v>45741</v>
      </c>
      <c r="C289" s="2" t="s">
        <v>16</v>
      </c>
      <c r="D289">
        <v>64.650000000000006</v>
      </c>
      <c r="E289">
        <v>89</v>
      </c>
      <c r="F289">
        <v>5753.85</v>
      </c>
    </row>
    <row r="290" spans="1:6" x14ac:dyDescent="0.25">
      <c r="A290">
        <v>289</v>
      </c>
      <c r="B290" s="1">
        <v>45702</v>
      </c>
      <c r="C290" s="2" t="s">
        <v>14</v>
      </c>
      <c r="D290">
        <v>42.71</v>
      </c>
      <c r="E290">
        <v>37</v>
      </c>
      <c r="F290">
        <v>1580.27</v>
      </c>
    </row>
    <row r="291" spans="1:6" x14ac:dyDescent="0.25">
      <c r="A291">
        <v>290</v>
      </c>
      <c r="B291" s="1">
        <v>45669</v>
      </c>
      <c r="C291" s="2" t="s">
        <v>30</v>
      </c>
      <c r="D291">
        <v>11.65</v>
      </c>
      <c r="E291">
        <v>62</v>
      </c>
      <c r="F291">
        <v>722.30000000000007</v>
      </c>
    </row>
    <row r="292" spans="1:6" x14ac:dyDescent="0.25">
      <c r="A292">
        <v>291</v>
      </c>
      <c r="B292" s="1">
        <v>45769</v>
      </c>
      <c r="C292" s="2" t="s">
        <v>15</v>
      </c>
      <c r="D292">
        <v>106.5</v>
      </c>
      <c r="E292">
        <v>119</v>
      </c>
      <c r="F292">
        <v>12673.5</v>
      </c>
    </row>
    <row r="293" spans="1:6" x14ac:dyDescent="0.25">
      <c r="A293">
        <v>292</v>
      </c>
      <c r="B293" s="1">
        <v>45810</v>
      </c>
      <c r="C293" s="2" t="s">
        <v>25</v>
      </c>
      <c r="D293">
        <v>127.8</v>
      </c>
      <c r="E293">
        <v>36</v>
      </c>
      <c r="F293">
        <v>4600.8</v>
      </c>
    </row>
    <row r="294" spans="1:6" x14ac:dyDescent="0.25">
      <c r="A294">
        <v>293</v>
      </c>
      <c r="B294" s="1">
        <v>45696</v>
      </c>
      <c r="C294" s="2" t="s">
        <v>30</v>
      </c>
      <c r="D294">
        <v>57.62</v>
      </c>
      <c r="E294">
        <v>272</v>
      </c>
      <c r="F294">
        <v>15672.64</v>
      </c>
    </row>
    <row r="295" spans="1:6" x14ac:dyDescent="0.25">
      <c r="A295">
        <v>294</v>
      </c>
      <c r="B295" s="1">
        <v>45769</v>
      </c>
      <c r="C295" s="2" t="s">
        <v>27</v>
      </c>
      <c r="D295">
        <v>36.39</v>
      </c>
      <c r="E295">
        <v>132</v>
      </c>
      <c r="F295">
        <v>4803.4800000000005</v>
      </c>
    </row>
    <row r="296" spans="1:6" x14ac:dyDescent="0.25">
      <c r="A296">
        <v>295</v>
      </c>
      <c r="B296" s="1">
        <v>45748</v>
      </c>
      <c r="C296" s="2" t="s">
        <v>16</v>
      </c>
      <c r="D296">
        <v>128.16999999999999</v>
      </c>
      <c r="E296">
        <v>26</v>
      </c>
      <c r="F296">
        <v>3332.4199999999996</v>
      </c>
    </row>
    <row r="297" spans="1:6" x14ac:dyDescent="0.25">
      <c r="A297">
        <v>296</v>
      </c>
      <c r="B297" s="1">
        <v>45743</v>
      </c>
      <c r="C297" s="2" t="s">
        <v>14</v>
      </c>
      <c r="D297">
        <v>56.27</v>
      </c>
      <c r="E297">
        <v>182</v>
      </c>
      <c r="F297">
        <v>10241.140000000001</v>
      </c>
    </row>
    <row r="298" spans="1:6" x14ac:dyDescent="0.25">
      <c r="A298">
        <v>297</v>
      </c>
      <c r="B298" s="1">
        <v>45723</v>
      </c>
      <c r="C298" s="2" t="s">
        <v>15</v>
      </c>
      <c r="D298">
        <v>27.61</v>
      </c>
      <c r="E298">
        <v>114</v>
      </c>
      <c r="F298">
        <v>3147.54</v>
      </c>
    </row>
    <row r="299" spans="1:6" x14ac:dyDescent="0.25">
      <c r="A299">
        <v>298</v>
      </c>
      <c r="B299" s="1">
        <v>45822</v>
      </c>
      <c r="C299" s="2" t="s">
        <v>15</v>
      </c>
      <c r="D299">
        <v>98.71</v>
      </c>
      <c r="E299">
        <v>97</v>
      </c>
      <c r="F299">
        <v>9574.869999999999</v>
      </c>
    </row>
    <row r="300" spans="1:6" x14ac:dyDescent="0.25">
      <c r="A300">
        <v>299</v>
      </c>
      <c r="B300" s="1">
        <v>45721</v>
      </c>
      <c r="C300" s="2" t="s">
        <v>7</v>
      </c>
      <c r="D300">
        <v>32.25</v>
      </c>
      <c r="E300">
        <v>50</v>
      </c>
      <c r="F300">
        <v>1612.5</v>
      </c>
    </row>
    <row r="301" spans="1:6" x14ac:dyDescent="0.25">
      <c r="A301">
        <v>300</v>
      </c>
      <c r="B301" s="1">
        <v>45738</v>
      </c>
      <c r="C301" s="2" t="s">
        <v>26</v>
      </c>
      <c r="D301">
        <v>62.5</v>
      </c>
      <c r="E301">
        <v>272</v>
      </c>
      <c r="F301">
        <v>17000</v>
      </c>
    </row>
    <row r="302" spans="1:6" x14ac:dyDescent="0.25">
      <c r="A302">
        <v>301</v>
      </c>
      <c r="B302" s="1">
        <v>45739</v>
      </c>
      <c r="C302" s="2" t="s">
        <v>12</v>
      </c>
      <c r="D302">
        <v>96.18</v>
      </c>
      <c r="E302">
        <v>34</v>
      </c>
      <c r="F302">
        <v>3270.1200000000003</v>
      </c>
    </row>
    <row r="303" spans="1:6" x14ac:dyDescent="0.25">
      <c r="A303">
        <v>302</v>
      </c>
      <c r="B303" s="1">
        <v>45774</v>
      </c>
      <c r="C303" s="2" t="s">
        <v>14</v>
      </c>
      <c r="D303">
        <v>86.12</v>
      </c>
      <c r="E303">
        <v>41</v>
      </c>
      <c r="F303">
        <v>3530.92</v>
      </c>
    </row>
    <row r="304" spans="1:6" x14ac:dyDescent="0.25">
      <c r="A304">
        <v>303</v>
      </c>
      <c r="B304" s="1">
        <v>45832</v>
      </c>
      <c r="C304" s="2" t="s">
        <v>21</v>
      </c>
      <c r="D304">
        <v>105.75</v>
      </c>
      <c r="E304">
        <v>58</v>
      </c>
      <c r="F304">
        <v>6133.5</v>
      </c>
    </row>
    <row r="305" spans="1:6" x14ac:dyDescent="0.25">
      <c r="A305">
        <v>304</v>
      </c>
      <c r="B305" s="1">
        <v>45820</v>
      </c>
      <c r="C305" s="2" t="s">
        <v>20</v>
      </c>
      <c r="D305">
        <v>85.08</v>
      </c>
      <c r="E305">
        <v>80</v>
      </c>
      <c r="F305">
        <v>6806.4</v>
      </c>
    </row>
    <row r="306" spans="1:6" x14ac:dyDescent="0.25">
      <c r="A306">
        <v>305</v>
      </c>
      <c r="B306" s="1">
        <v>45777</v>
      </c>
      <c r="C306" s="2" t="s">
        <v>10</v>
      </c>
      <c r="D306">
        <v>30.62</v>
      </c>
      <c r="E306">
        <v>154</v>
      </c>
      <c r="F306">
        <v>4715.4800000000005</v>
      </c>
    </row>
    <row r="307" spans="1:6" x14ac:dyDescent="0.25">
      <c r="A307">
        <v>306</v>
      </c>
      <c r="B307" s="1">
        <v>45750</v>
      </c>
      <c r="C307" s="2" t="s">
        <v>9</v>
      </c>
      <c r="D307">
        <v>6.35</v>
      </c>
      <c r="E307">
        <v>156</v>
      </c>
      <c r="F307">
        <v>990.59999999999991</v>
      </c>
    </row>
    <row r="308" spans="1:6" x14ac:dyDescent="0.25">
      <c r="A308">
        <v>307</v>
      </c>
      <c r="B308" s="1">
        <v>45831</v>
      </c>
      <c r="C308" s="2" t="s">
        <v>12</v>
      </c>
      <c r="D308">
        <v>71.459999999999994</v>
      </c>
      <c r="E308">
        <v>165</v>
      </c>
      <c r="F308">
        <v>11790.9</v>
      </c>
    </row>
    <row r="309" spans="1:6" x14ac:dyDescent="0.25">
      <c r="A309">
        <v>308</v>
      </c>
      <c r="B309" s="1">
        <v>45739</v>
      </c>
      <c r="C309" s="2" t="s">
        <v>10</v>
      </c>
      <c r="D309">
        <v>119.07</v>
      </c>
      <c r="E309">
        <v>101</v>
      </c>
      <c r="F309">
        <v>12026.07</v>
      </c>
    </row>
    <row r="310" spans="1:6" x14ac:dyDescent="0.25">
      <c r="A310">
        <v>309</v>
      </c>
      <c r="B310" s="1">
        <v>45728</v>
      </c>
      <c r="C310" s="2" t="s">
        <v>26</v>
      </c>
      <c r="D310">
        <v>103.89</v>
      </c>
      <c r="E310">
        <v>182</v>
      </c>
      <c r="F310">
        <v>18907.98</v>
      </c>
    </row>
    <row r="311" spans="1:6" x14ac:dyDescent="0.25">
      <c r="A311">
        <v>310</v>
      </c>
      <c r="B311" s="1">
        <v>45830</v>
      </c>
      <c r="C311" s="2" t="s">
        <v>10</v>
      </c>
      <c r="D311">
        <v>52.3</v>
      </c>
      <c r="E311">
        <v>63</v>
      </c>
      <c r="F311">
        <v>3294.8999999999996</v>
      </c>
    </row>
    <row r="312" spans="1:6" x14ac:dyDescent="0.25">
      <c r="A312">
        <v>311</v>
      </c>
      <c r="B312" s="1">
        <v>45787</v>
      </c>
      <c r="C312" s="2" t="s">
        <v>14</v>
      </c>
      <c r="D312">
        <v>29.83</v>
      </c>
      <c r="E312">
        <v>59</v>
      </c>
      <c r="F312">
        <v>1759.9699999999998</v>
      </c>
    </row>
    <row r="313" spans="1:6" x14ac:dyDescent="0.25">
      <c r="A313">
        <v>312</v>
      </c>
      <c r="B313" s="1">
        <v>45807</v>
      </c>
      <c r="C313" s="2" t="s">
        <v>26</v>
      </c>
      <c r="D313">
        <v>44.13</v>
      </c>
      <c r="E313">
        <v>62</v>
      </c>
      <c r="F313">
        <v>2736.06</v>
      </c>
    </row>
    <row r="314" spans="1:6" x14ac:dyDescent="0.25">
      <c r="A314">
        <v>313</v>
      </c>
      <c r="B314" s="1">
        <v>45689</v>
      </c>
      <c r="C314" s="2" t="s">
        <v>12</v>
      </c>
      <c r="D314">
        <v>9.7200000000000006</v>
      </c>
      <c r="E314">
        <v>59</v>
      </c>
      <c r="F314">
        <v>573.48</v>
      </c>
    </row>
    <row r="315" spans="1:6" x14ac:dyDescent="0.25">
      <c r="A315">
        <v>314</v>
      </c>
      <c r="B315" s="1">
        <v>45765</v>
      </c>
      <c r="C315" s="2" t="s">
        <v>28</v>
      </c>
      <c r="D315">
        <v>42.04</v>
      </c>
      <c r="E315">
        <v>125</v>
      </c>
      <c r="F315">
        <v>5255</v>
      </c>
    </row>
    <row r="316" spans="1:6" x14ac:dyDescent="0.25">
      <c r="A316">
        <v>315</v>
      </c>
      <c r="B316" s="1">
        <v>45809</v>
      </c>
      <c r="C316" s="2" t="s">
        <v>7</v>
      </c>
      <c r="D316">
        <v>7.99</v>
      </c>
      <c r="E316">
        <v>153</v>
      </c>
      <c r="F316">
        <v>1222.47</v>
      </c>
    </row>
    <row r="317" spans="1:6" x14ac:dyDescent="0.25">
      <c r="A317">
        <v>316</v>
      </c>
      <c r="B317" s="1">
        <v>45793</v>
      </c>
      <c r="C317" s="2" t="s">
        <v>27</v>
      </c>
      <c r="D317">
        <v>65.790000000000006</v>
      </c>
      <c r="E317">
        <v>255</v>
      </c>
      <c r="F317">
        <v>16776.45</v>
      </c>
    </row>
    <row r="318" spans="1:6" x14ac:dyDescent="0.25">
      <c r="A318">
        <v>317</v>
      </c>
      <c r="B318" s="1">
        <v>45666</v>
      </c>
      <c r="C318" s="2" t="s">
        <v>11</v>
      </c>
      <c r="D318">
        <v>20.55</v>
      </c>
      <c r="E318">
        <v>160</v>
      </c>
      <c r="F318">
        <v>3288</v>
      </c>
    </row>
    <row r="319" spans="1:6" x14ac:dyDescent="0.25">
      <c r="A319">
        <v>318</v>
      </c>
      <c r="B319" s="1">
        <v>45684</v>
      </c>
      <c r="C319" s="2" t="s">
        <v>10</v>
      </c>
      <c r="D319">
        <v>36.08</v>
      </c>
      <c r="E319">
        <v>58</v>
      </c>
      <c r="F319">
        <v>2092.64</v>
      </c>
    </row>
    <row r="320" spans="1:6" x14ac:dyDescent="0.25">
      <c r="A320">
        <v>319</v>
      </c>
      <c r="B320" s="1">
        <v>45736</v>
      </c>
      <c r="C320" s="2" t="s">
        <v>23</v>
      </c>
      <c r="D320">
        <v>93.84</v>
      </c>
      <c r="E320">
        <v>166</v>
      </c>
      <c r="F320">
        <v>15577.44</v>
      </c>
    </row>
    <row r="321" spans="1:6" x14ac:dyDescent="0.25">
      <c r="A321">
        <v>320</v>
      </c>
      <c r="B321" s="1">
        <v>45718</v>
      </c>
      <c r="C321" s="2" t="s">
        <v>28</v>
      </c>
      <c r="D321">
        <v>99.77</v>
      </c>
      <c r="E321">
        <v>51</v>
      </c>
      <c r="F321">
        <v>5088.2699999999995</v>
      </c>
    </row>
    <row r="322" spans="1:6" x14ac:dyDescent="0.25">
      <c r="A322">
        <v>321</v>
      </c>
      <c r="B322" s="1">
        <v>45772</v>
      </c>
      <c r="C322" s="2" t="s">
        <v>25</v>
      </c>
      <c r="D322">
        <v>31.63</v>
      </c>
      <c r="E322">
        <v>48</v>
      </c>
      <c r="F322">
        <v>1518.24</v>
      </c>
    </row>
    <row r="323" spans="1:6" x14ac:dyDescent="0.25">
      <c r="A323">
        <v>322</v>
      </c>
      <c r="B323" s="1">
        <v>45759</v>
      </c>
      <c r="C323" s="2" t="s">
        <v>11</v>
      </c>
      <c r="D323">
        <v>117.64</v>
      </c>
      <c r="E323">
        <v>136</v>
      </c>
      <c r="F323">
        <v>15999.04</v>
      </c>
    </row>
    <row r="324" spans="1:6" x14ac:dyDescent="0.25">
      <c r="A324">
        <v>323</v>
      </c>
      <c r="B324" s="1">
        <v>45663</v>
      </c>
      <c r="C324" s="2" t="s">
        <v>30</v>
      </c>
      <c r="D324">
        <v>31.49</v>
      </c>
      <c r="E324">
        <v>75</v>
      </c>
      <c r="F324">
        <v>2361.75</v>
      </c>
    </row>
    <row r="325" spans="1:6" x14ac:dyDescent="0.25">
      <c r="A325">
        <v>324</v>
      </c>
      <c r="B325" s="1">
        <v>45730</v>
      </c>
      <c r="C325" s="2" t="s">
        <v>19</v>
      </c>
      <c r="D325">
        <v>84.89</v>
      </c>
      <c r="E325">
        <v>51</v>
      </c>
      <c r="F325">
        <v>4329.3900000000003</v>
      </c>
    </row>
    <row r="326" spans="1:6" x14ac:dyDescent="0.25">
      <c r="A326">
        <v>325</v>
      </c>
      <c r="B326" s="1">
        <v>45780</v>
      </c>
      <c r="C326" s="2" t="s">
        <v>23</v>
      </c>
      <c r="D326">
        <v>81.96</v>
      </c>
      <c r="E326">
        <v>108</v>
      </c>
      <c r="F326">
        <v>8851.6799999999985</v>
      </c>
    </row>
    <row r="327" spans="1:6" x14ac:dyDescent="0.25">
      <c r="A327">
        <v>326</v>
      </c>
      <c r="B327" s="1">
        <v>45671</v>
      </c>
      <c r="C327" s="2" t="s">
        <v>25</v>
      </c>
      <c r="D327">
        <v>78.78</v>
      </c>
      <c r="E327">
        <v>28</v>
      </c>
      <c r="F327">
        <v>2205.84</v>
      </c>
    </row>
    <row r="328" spans="1:6" x14ac:dyDescent="0.25">
      <c r="A328">
        <v>327</v>
      </c>
      <c r="B328" s="1">
        <v>45786</v>
      </c>
      <c r="C328" s="2" t="s">
        <v>28</v>
      </c>
      <c r="D328">
        <v>32.56</v>
      </c>
      <c r="E328">
        <v>126</v>
      </c>
      <c r="F328">
        <v>4102.5600000000004</v>
      </c>
    </row>
    <row r="329" spans="1:6" x14ac:dyDescent="0.25">
      <c r="A329">
        <v>328</v>
      </c>
      <c r="B329" s="1">
        <v>45665</v>
      </c>
      <c r="C329" s="2" t="s">
        <v>29</v>
      </c>
      <c r="D329">
        <v>54.4</v>
      </c>
      <c r="E329">
        <v>147</v>
      </c>
      <c r="F329">
        <v>7996.8</v>
      </c>
    </row>
    <row r="330" spans="1:6" x14ac:dyDescent="0.25">
      <c r="A330">
        <v>329</v>
      </c>
      <c r="B330" s="1">
        <v>45708</v>
      </c>
      <c r="C330" s="2" t="s">
        <v>28</v>
      </c>
      <c r="D330">
        <v>59.22</v>
      </c>
      <c r="E330">
        <v>68</v>
      </c>
      <c r="F330">
        <v>4026.96</v>
      </c>
    </row>
    <row r="331" spans="1:6" x14ac:dyDescent="0.25">
      <c r="A331">
        <v>330</v>
      </c>
      <c r="B331" s="1">
        <v>45730</v>
      </c>
      <c r="C331" s="2" t="s">
        <v>20</v>
      </c>
      <c r="D331">
        <v>82.25</v>
      </c>
      <c r="E331">
        <v>125</v>
      </c>
      <c r="F331">
        <v>10281.25</v>
      </c>
    </row>
    <row r="332" spans="1:6" x14ac:dyDescent="0.25">
      <c r="A332">
        <v>331</v>
      </c>
      <c r="B332" s="1">
        <v>45687</v>
      </c>
      <c r="C332" s="2" t="s">
        <v>11</v>
      </c>
      <c r="D332">
        <v>99.56</v>
      </c>
      <c r="E332">
        <v>116</v>
      </c>
      <c r="F332">
        <v>11548.960000000001</v>
      </c>
    </row>
    <row r="333" spans="1:6" x14ac:dyDescent="0.25">
      <c r="A333">
        <v>332</v>
      </c>
      <c r="B333" s="1">
        <v>45797</v>
      </c>
      <c r="C333" s="2" t="s">
        <v>15</v>
      </c>
      <c r="D333">
        <v>83.07</v>
      </c>
      <c r="E333">
        <v>51</v>
      </c>
      <c r="F333">
        <v>4236.57</v>
      </c>
    </row>
    <row r="334" spans="1:6" x14ac:dyDescent="0.25">
      <c r="A334">
        <v>333</v>
      </c>
      <c r="B334" s="1">
        <v>45691</v>
      </c>
      <c r="C334" s="2" t="s">
        <v>24</v>
      </c>
      <c r="D334">
        <v>82.62</v>
      </c>
      <c r="E334">
        <v>92</v>
      </c>
      <c r="F334">
        <v>7601.0400000000009</v>
      </c>
    </row>
    <row r="335" spans="1:6" x14ac:dyDescent="0.25">
      <c r="A335">
        <v>334</v>
      </c>
      <c r="B335" s="1">
        <v>45807</v>
      </c>
      <c r="C335" s="2" t="s">
        <v>22</v>
      </c>
      <c r="D335">
        <v>5.81</v>
      </c>
      <c r="E335">
        <v>117</v>
      </c>
      <c r="F335">
        <v>679.77</v>
      </c>
    </row>
    <row r="336" spans="1:6" x14ac:dyDescent="0.25">
      <c r="A336">
        <v>335</v>
      </c>
      <c r="B336" s="1">
        <v>45827</v>
      </c>
      <c r="C336" s="2" t="s">
        <v>6</v>
      </c>
      <c r="D336">
        <v>26.55</v>
      </c>
      <c r="E336">
        <v>87</v>
      </c>
      <c r="F336">
        <v>2309.85</v>
      </c>
    </row>
    <row r="337" spans="1:6" x14ac:dyDescent="0.25">
      <c r="A337">
        <v>336</v>
      </c>
      <c r="B337" s="1">
        <v>45819</v>
      </c>
      <c r="C337" s="2" t="s">
        <v>17</v>
      </c>
      <c r="D337">
        <v>66.040000000000006</v>
      </c>
      <c r="E337">
        <v>107</v>
      </c>
      <c r="F337">
        <v>7066.2800000000007</v>
      </c>
    </row>
    <row r="338" spans="1:6" x14ac:dyDescent="0.25">
      <c r="A338">
        <v>337</v>
      </c>
      <c r="B338" s="1">
        <v>45763</v>
      </c>
      <c r="C338" s="2" t="s">
        <v>30</v>
      </c>
      <c r="D338">
        <v>83.21</v>
      </c>
      <c r="E338">
        <v>79</v>
      </c>
      <c r="F338">
        <v>6573.5899999999992</v>
      </c>
    </row>
    <row r="339" spans="1:6" x14ac:dyDescent="0.25">
      <c r="A339">
        <v>338</v>
      </c>
      <c r="B339" s="1">
        <v>45725</v>
      </c>
      <c r="C339" s="2" t="s">
        <v>22</v>
      </c>
      <c r="D339">
        <v>102.43</v>
      </c>
      <c r="E339">
        <v>70</v>
      </c>
      <c r="F339">
        <v>7170.1</v>
      </c>
    </row>
    <row r="340" spans="1:6" x14ac:dyDescent="0.25">
      <c r="A340">
        <v>339</v>
      </c>
      <c r="B340" s="1">
        <v>45776</v>
      </c>
      <c r="C340" s="2" t="s">
        <v>24</v>
      </c>
      <c r="D340">
        <v>100.49</v>
      </c>
      <c r="E340">
        <v>136</v>
      </c>
      <c r="F340">
        <v>13666.64</v>
      </c>
    </row>
    <row r="341" spans="1:6" x14ac:dyDescent="0.25">
      <c r="A341">
        <v>340</v>
      </c>
      <c r="B341" s="1">
        <v>45770</v>
      </c>
      <c r="C341" s="2" t="s">
        <v>11</v>
      </c>
      <c r="D341">
        <v>65.31</v>
      </c>
      <c r="E341">
        <v>34</v>
      </c>
      <c r="F341">
        <v>2220.54</v>
      </c>
    </row>
    <row r="342" spans="1:6" x14ac:dyDescent="0.25">
      <c r="A342">
        <v>341</v>
      </c>
      <c r="B342" s="1">
        <v>45726</v>
      </c>
      <c r="C342" s="2" t="s">
        <v>11</v>
      </c>
      <c r="D342">
        <v>72.72</v>
      </c>
      <c r="E342">
        <v>221</v>
      </c>
      <c r="F342">
        <v>16071.119999999999</v>
      </c>
    </row>
    <row r="343" spans="1:6" x14ac:dyDescent="0.25">
      <c r="A343">
        <v>342</v>
      </c>
      <c r="B343" s="1">
        <v>45785</v>
      </c>
      <c r="C343" s="2" t="s">
        <v>9</v>
      </c>
      <c r="D343">
        <v>89.88</v>
      </c>
      <c r="E343">
        <v>206</v>
      </c>
      <c r="F343">
        <v>18515.28</v>
      </c>
    </row>
    <row r="344" spans="1:6" x14ac:dyDescent="0.25">
      <c r="A344">
        <v>343</v>
      </c>
      <c r="B344" s="1">
        <v>45737</v>
      </c>
      <c r="C344" s="2" t="s">
        <v>13</v>
      </c>
      <c r="D344">
        <v>103.49</v>
      </c>
      <c r="E344">
        <v>199</v>
      </c>
      <c r="F344">
        <v>20594.509999999998</v>
      </c>
    </row>
    <row r="345" spans="1:6" x14ac:dyDescent="0.25">
      <c r="A345">
        <v>344</v>
      </c>
      <c r="B345" s="1">
        <v>45693</v>
      </c>
      <c r="C345" s="2" t="s">
        <v>15</v>
      </c>
      <c r="D345">
        <v>9.31</v>
      </c>
      <c r="E345">
        <v>153</v>
      </c>
      <c r="F345">
        <v>1424.43</v>
      </c>
    </row>
    <row r="346" spans="1:6" x14ac:dyDescent="0.25">
      <c r="A346">
        <v>345</v>
      </c>
      <c r="B346" s="1">
        <v>45798</v>
      </c>
      <c r="C346" s="2" t="s">
        <v>30</v>
      </c>
      <c r="D346">
        <v>49.48</v>
      </c>
      <c r="E346">
        <v>102</v>
      </c>
      <c r="F346">
        <v>5046.96</v>
      </c>
    </row>
    <row r="347" spans="1:6" x14ac:dyDescent="0.25">
      <c r="A347">
        <v>346</v>
      </c>
      <c r="B347" s="1">
        <v>45781</v>
      </c>
      <c r="C347" s="2" t="s">
        <v>17</v>
      </c>
      <c r="D347">
        <v>48.27</v>
      </c>
      <c r="E347">
        <v>55</v>
      </c>
      <c r="F347">
        <v>2654.8500000000004</v>
      </c>
    </row>
    <row r="348" spans="1:6" x14ac:dyDescent="0.25">
      <c r="A348">
        <v>347</v>
      </c>
      <c r="B348" s="1">
        <v>45818</v>
      </c>
      <c r="C348" s="2" t="s">
        <v>22</v>
      </c>
      <c r="D348">
        <v>97.72</v>
      </c>
      <c r="E348">
        <v>58</v>
      </c>
      <c r="F348">
        <v>5667.76</v>
      </c>
    </row>
    <row r="349" spans="1:6" x14ac:dyDescent="0.25">
      <c r="A349">
        <v>348</v>
      </c>
      <c r="B349" s="1">
        <v>45738</v>
      </c>
      <c r="C349" s="2" t="s">
        <v>16</v>
      </c>
      <c r="D349">
        <v>26.24</v>
      </c>
      <c r="E349">
        <v>81</v>
      </c>
      <c r="F349">
        <v>2125.44</v>
      </c>
    </row>
    <row r="350" spans="1:6" x14ac:dyDescent="0.25">
      <c r="A350">
        <v>349</v>
      </c>
      <c r="B350" s="1">
        <v>45701</v>
      </c>
      <c r="C350" s="2" t="s">
        <v>14</v>
      </c>
      <c r="D350">
        <v>76.819999999999993</v>
      </c>
      <c r="E350">
        <v>147</v>
      </c>
      <c r="F350">
        <v>11292.539999999999</v>
      </c>
    </row>
    <row r="351" spans="1:6" x14ac:dyDescent="0.25">
      <c r="A351">
        <v>350</v>
      </c>
      <c r="B351" s="1">
        <v>45727</v>
      </c>
      <c r="C351" s="2" t="s">
        <v>9</v>
      </c>
      <c r="D351">
        <v>60.8</v>
      </c>
      <c r="E351">
        <v>89</v>
      </c>
      <c r="F351">
        <v>5411.2</v>
      </c>
    </row>
    <row r="352" spans="1:6" x14ac:dyDescent="0.25">
      <c r="A352">
        <v>351</v>
      </c>
      <c r="B352" s="1">
        <v>45830</v>
      </c>
      <c r="C352" s="2" t="s">
        <v>11</v>
      </c>
      <c r="D352">
        <v>21.25</v>
      </c>
      <c r="E352">
        <v>142</v>
      </c>
      <c r="F352">
        <v>3017.5</v>
      </c>
    </row>
    <row r="353" spans="1:6" x14ac:dyDescent="0.25">
      <c r="A353">
        <v>352</v>
      </c>
      <c r="B353" s="1">
        <v>45659</v>
      </c>
      <c r="C353" s="2" t="s">
        <v>25</v>
      </c>
      <c r="D353">
        <v>6.37</v>
      </c>
      <c r="E353">
        <v>118</v>
      </c>
      <c r="F353">
        <v>751.66</v>
      </c>
    </row>
    <row r="354" spans="1:6" x14ac:dyDescent="0.25">
      <c r="A354">
        <v>353</v>
      </c>
      <c r="B354" s="1">
        <v>45757</v>
      </c>
      <c r="C354" s="2" t="s">
        <v>11</v>
      </c>
      <c r="D354">
        <v>117.62</v>
      </c>
      <c r="E354">
        <v>160</v>
      </c>
      <c r="F354">
        <v>18819.2</v>
      </c>
    </row>
    <row r="355" spans="1:6" x14ac:dyDescent="0.25">
      <c r="A355">
        <v>354</v>
      </c>
      <c r="B355" s="1">
        <v>45758</v>
      </c>
      <c r="C355" s="2" t="s">
        <v>21</v>
      </c>
      <c r="D355">
        <v>76.61</v>
      </c>
      <c r="E355">
        <v>198</v>
      </c>
      <c r="F355">
        <v>15168.78</v>
      </c>
    </row>
    <row r="356" spans="1:6" x14ac:dyDescent="0.25">
      <c r="A356">
        <v>355</v>
      </c>
      <c r="B356" s="1">
        <v>45721</v>
      </c>
      <c r="C356" s="2" t="s">
        <v>19</v>
      </c>
      <c r="D356">
        <v>131.09</v>
      </c>
      <c r="E356">
        <v>98</v>
      </c>
      <c r="F356">
        <v>12846.82</v>
      </c>
    </row>
    <row r="357" spans="1:6" x14ac:dyDescent="0.25">
      <c r="A357">
        <v>356</v>
      </c>
      <c r="B357" s="1">
        <v>45713</v>
      </c>
      <c r="C357" s="2" t="s">
        <v>17</v>
      </c>
      <c r="D357">
        <v>19.440000000000001</v>
      </c>
      <c r="E357">
        <v>174</v>
      </c>
      <c r="F357">
        <v>3382.5600000000004</v>
      </c>
    </row>
    <row r="358" spans="1:6" x14ac:dyDescent="0.25">
      <c r="A358">
        <v>357</v>
      </c>
      <c r="B358" s="1">
        <v>45701</v>
      </c>
      <c r="C358" s="2" t="s">
        <v>25</v>
      </c>
      <c r="D358">
        <v>26.53</v>
      </c>
      <c r="E358">
        <v>141</v>
      </c>
      <c r="F358">
        <v>3740.73</v>
      </c>
    </row>
    <row r="359" spans="1:6" x14ac:dyDescent="0.25">
      <c r="A359">
        <v>358</v>
      </c>
      <c r="B359" s="1">
        <v>45672</v>
      </c>
      <c r="C359" s="2" t="s">
        <v>27</v>
      </c>
      <c r="D359">
        <v>117.09</v>
      </c>
      <c r="E359">
        <v>76</v>
      </c>
      <c r="F359">
        <v>8898.84</v>
      </c>
    </row>
    <row r="360" spans="1:6" x14ac:dyDescent="0.25">
      <c r="A360">
        <v>359</v>
      </c>
      <c r="B360" s="1">
        <v>45700</v>
      </c>
      <c r="C360" s="2" t="s">
        <v>24</v>
      </c>
      <c r="D360">
        <v>8.0399999999999991</v>
      </c>
      <c r="E360">
        <v>145</v>
      </c>
      <c r="F360">
        <v>1165.8</v>
      </c>
    </row>
    <row r="361" spans="1:6" x14ac:dyDescent="0.25">
      <c r="A361">
        <v>360</v>
      </c>
      <c r="B361" s="1">
        <v>45771</v>
      </c>
      <c r="C361" s="2" t="s">
        <v>22</v>
      </c>
      <c r="D361">
        <v>86.94</v>
      </c>
      <c r="E361">
        <v>45</v>
      </c>
      <c r="F361">
        <v>3912.2999999999997</v>
      </c>
    </row>
    <row r="362" spans="1:6" x14ac:dyDescent="0.25">
      <c r="A362">
        <v>361</v>
      </c>
      <c r="B362" s="1">
        <v>45719</v>
      </c>
      <c r="C362" s="2" t="s">
        <v>29</v>
      </c>
      <c r="D362">
        <v>99.48</v>
      </c>
      <c r="E362">
        <v>87</v>
      </c>
      <c r="F362">
        <v>8654.76</v>
      </c>
    </row>
    <row r="363" spans="1:6" x14ac:dyDescent="0.25">
      <c r="A363">
        <v>362</v>
      </c>
      <c r="B363" s="1">
        <v>45727</v>
      </c>
      <c r="C363" s="2" t="s">
        <v>13</v>
      </c>
      <c r="D363">
        <v>50.38</v>
      </c>
      <c r="E363">
        <v>54</v>
      </c>
      <c r="F363">
        <v>2720.52</v>
      </c>
    </row>
    <row r="364" spans="1:6" x14ac:dyDescent="0.25">
      <c r="A364">
        <v>363</v>
      </c>
      <c r="B364" s="1">
        <v>45792</v>
      </c>
      <c r="C364" s="2" t="s">
        <v>8</v>
      </c>
      <c r="D364">
        <v>29.37</v>
      </c>
      <c r="E364">
        <v>255</v>
      </c>
      <c r="F364">
        <v>7489.35</v>
      </c>
    </row>
    <row r="365" spans="1:6" x14ac:dyDescent="0.25">
      <c r="A365">
        <v>364</v>
      </c>
      <c r="B365" s="1">
        <v>45678</v>
      </c>
      <c r="C365" s="2" t="s">
        <v>22</v>
      </c>
      <c r="D365">
        <v>108.92</v>
      </c>
      <c r="E365">
        <v>34</v>
      </c>
      <c r="F365">
        <v>3703.28</v>
      </c>
    </row>
    <row r="366" spans="1:6" x14ac:dyDescent="0.25">
      <c r="A366">
        <v>365</v>
      </c>
      <c r="B366" s="1">
        <v>45662</v>
      </c>
      <c r="C366" s="2" t="s">
        <v>22</v>
      </c>
      <c r="D366">
        <v>62.96</v>
      </c>
      <c r="E366">
        <v>56</v>
      </c>
      <c r="F366">
        <v>3525.76</v>
      </c>
    </row>
    <row r="367" spans="1:6" x14ac:dyDescent="0.25">
      <c r="A367">
        <v>366</v>
      </c>
      <c r="B367" s="1">
        <v>45701</v>
      </c>
      <c r="C367" s="2" t="s">
        <v>12</v>
      </c>
      <c r="D367">
        <v>115.12</v>
      </c>
      <c r="E367">
        <v>29</v>
      </c>
      <c r="F367">
        <v>3338.48</v>
      </c>
    </row>
    <row r="368" spans="1:6" x14ac:dyDescent="0.25">
      <c r="A368">
        <v>367</v>
      </c>
      <c r="B368" s="1">
        <v>45665</v>
      </c>
      <c r="C368" s="2" t="s">
        <v>27</v>
      </c>
      <c r="D368">
        <v>128.81</v>
      </c>
      <c r="E368">
        <v>51</v>
      </c>
      <c r="F368">
        <v>6569.31</v>
      </c>
    </row>
    <row r="369" spans="1:6" x14ac:dyDescent="0.25">
      <c r="A369">
        <v>368</v>
      </c>
      <c r="B369" s="1">
        <v>45831</v>
      </c>
      <c r="C369" s="2" t="s">
        <v>15</v>
      </c>
      <c r="D369">
        <v>32.17</v>
      </c>
      <c r="E369">
        <v>165</v>
      </c>
      <c r="F369">
        <v>5308.05</v>
      </c>
    </row>
    <row r="370" spans="1:6" x14ac:dyDescent="0.25">
      <c r="A370">
        <v>369</v>
      </c>
      <c r="B370" s="1">
        <v>45734</v>
      </c>
      <c r="C370" s="2" t="s">
        <v>21</v>
      </c>
      <c r="D370">
        <v>46.46</v>
      </c>
      <c r="E370">
        <v>83</v>
      </c>
      <c r="F370">
        <v>3856.1800000000003</v>
      </c>
    </row>
    <row r="371" spans="1:6" x14ac:dyDescent="0.25">
      <c r="A371">
        <v>370</v>
      </c>
      <c r="B371" s="1">
        <v>45678</v>
      </c>
      <c r="C371" s="2" t="s">
        <v>11</v>
      </c>
      <c r="D371">
        <v>86.48</v>
      </c>
      <c r="E371">
        <v>63</v>
      </c>
      <c r="F371">
        <v>5448.2400000000007</v>
      </c>
    </row>
    <row r="372" spans="1:6" x14ac:dyDescent="0.25">
      <c r="A372">
        <v>371</v>
      </c>
      <c r="B372" s="1">
        <v>45660</v>
      </c>
      <c r="C372" s="2" t="s">
        <v>20</v>
      </c>
      <c r="D372">
        <v>127.59</v>
      </c>
      <c r="E372">
        <v>43</v>
      </c>
      <c r="F372">
        <v>5486.37</v>
      </c>
    </row>
    <row r="373" spans="1:6" x14ac:dyDescent="0.25">
      <c r="A373">
        <v>372</v>
      </c>
      <c r="B373" s="1">
        <v>45710</v>
      </c>
      <c r="C373" s="2" t="s">
        <v>13</v>
      </c>
      <c r="D373">
        <v>26.36</v>
      </c>
      <c r="E373">
        <v>68</v>
      </c>
      <c r="F373">
        <v>1792.48</v>
      </c>
    </row>
    <row r="374" spans="1:6" x14ac:dyDescent="0.25">
      <c r="A374">
        <v>373</v>
      </c>
      <c r="B374" s="1">
        <v>45722</v>
      </c>
      <c r="C374" s="2" t="s">
        <v>26</v>
      </c>
      <c r="D374">
        <v>16.98</v>
      </c>
      <c r="E374">
        <v>125</v>
      </c>
      <c r="F374">
        <v>2122.5</v>
      </c>
    </row>
    <row r="375" spans="1:6" x14ac:dyDescent="0.25">
      <c r="A375">
        <v>374</v>
      </c>
      <c r="B375" s="1">
        <v>45808</v>
      </c>
      <c r="C375" s="2" t="s">
        <v>15</v>
      </c>
      <c r="D375">
        <v>106.99</v>
      </c>
      <c r="E375">
        <v>77</v>
      </c>
      <c r="F375">
        <v>8238.23</v>
      </c>
    </row>
    <row r="376" spans="1:6" x14ac:dyDescent="0.25">
      <c r="A376">
        <v>375</v>
      </c>
      <c r="B376" s="1">
        <v>45825</v>
      </c>
      <c r="C376" s="2" t="s">
        <v>7</v>
      </c>
      <c r="D376">
        <v>59.84</v>
      </c>
      <c r="E376">
        <v>30</v>
      </c>
      <c r="F376">
        <v>1795.2</v>
      </c>
    </row>
    <row r="377" spans="1:6" x14ac:dyDescent="0.25">
      <c r="A377">
        <v>376</v>
      </c>
      <c r="B377" s="1">
        <v>45824</v>
      </c>
      <c r="C377" s="2" t="s">
        <v>17</v>
      </c>
      <c r="D377">
        <v>78</v>
      </c>
      <c r="E377">
        <v>174</v>
      </c>
      <c r="F377">
        <v>13572</v>
      </c>
    </row>
    <row r="378" spans="1:6" x14ac:dyDescent="0.25">
      <c r="A378">
        <v>377</v>
      </c>
      <c r="B378" s="1">
        <v>45712</v>
      </c>
      <c r="C378" s="2" t="s">
        <v>26</v>
      </c>
      <c r="D378">
        <v>95.49</v>
      </c>
      <c r="E378">
        <v>139</v>
      </c>
      <c r="F378">
        <v>13273.109999999999</v>
      </c>
    </row>
    <row r="379" spans="1:6" x14ac:dyDescent="0.25">
      <c r="A379">
        <v>378</v>
      </c>
      <c r="B379" s="1">
        <v>45811</v>
      </c>
      <c r="C379" s="2" t="s">
        <v>11</v>
      </c>
      <c r="D379">
        <v>72.48</v>
      </c>
      <c r="E379">
        <v>135</v>
      </c>
      <c r="F379">
        <v>9784.8000000000011</v>
      </c>
    </row>
    <row r="380" spans="1:6" x14ac:dyDescent="0.25">
      <c r="A380">
        <v>379</v>
      </c>
      <c r="B380" s="1">
        <v>45704</v>
      </c>
      <c r="C380" s="2" t="s">
        <v>10</v>
      </c>
      <c r="D380">
        <v>80.83</v>
      </c>
      <c r="E380">
        <v>207</v>
      </c>
      <c r="F380">
        <v>16731.810000000001</v>
      </c>
    </row>
    <row r="381" spans="1:6" x14ac:dyDescent="0.25">
      <c r="A381">
        <v>380</v>
      </c>
      <c r="B381" s="1">
        <v>45810</v>
      </c>
      <c r="C381" s="2" t="s">
        <v>20</v>
      </c>
      <c r="D381">
        <v>90.25</v>
      </c>
      <c r="E381">
        <v>68</v>
      </c>
      <c r="F381">
        <v>6137</v>
      </c>
    </row>
    <row r="382" spans="1:6" x14ac:dyDescent="0.25">
      <c r="A382">
        <v>381</v>
      </c>
      <c r="B382" s="1">
        <v>45802</v>
      </c>
      <c r="C382" s="2" t="s">
        <v>13</v>
      </c>
      <c r="D382">
        <v>16.57</v>
      </c>
      <c r="E382">
        <v>44</v>
      </c>
      <c r="F382">
        <v>729.08</v>
      </c>
    </row>
    <row r="383" spans="1:6" x14ac:dyDescent="0.25">
      <c r="A383">
        <v>382</v>
      </c>
      <c r="B383" s="1">
        <v>45771</v>
      </c>
      <c r="C383" s="2" t="s">
        <v>15</v>
      </c>
      <c r="D383">
        <v>14.44</v>
      </c>
      <c r="E383">
        <v>161</v>
      </c>
      <c r="F383">
        <v>2324.84</v>
      </c>
    </row>
    <row r="384" spans="1:6" x14ac:dyDescent="0.25">
      <c r="A384">
        <v>383</v>
      </c>
      <c r="B384" s="1">
        <v>45677</v>
      </c>
      <c r="C384" s="2" t="s">
        <v>23</v>
      </c>
      <c r="D384">
        <v>91.38</v>
      </c>
      <c r="E384">
        <v>186</v>
      </c>
      <c r="F384">
        <v>16996.68</v>
      </c>
    </row>
    <row r="385" spans="1:6" x14ac:dyDescent="0.25">
      <c r="A385">
        <v>384</v>
      </c>
      <c r="B385" s="1">
        <v>45727</v>
      </c>
      <c r="C385" s="2" t="s">
        <v>23</v>
      </c>
      <c r="D385">
        <v>91.63</v>
      </c>
      <c r="E385">
        <v>231</v>
      </c>
      <c r="F385">
        <v>21166.53</v>
      </c>
    </row>
    <row r="386" spans="1:6" x14ac:dyDescent="0.25">
      <c r="A386">
        <v>385</v>
      </c>
      <c r="B386" s="1">
        <v>45698</v>
      </c>
      <c r="C386" s="2" t="s">
        <v>23</v>
      </c>
      <c r="D386">
        <v>123.5</v>
      </c>
      <c r="E386">
        <v>137</v>
      </c>
      <c r="F386">
        <v>16919.5</v>
      </c>
    </row>
    <row r="387" spans="1:6" x14ac:dyDescent="0.25">
      <c r="A387">
        <v>386</v>
      </c>
      <c r="B387" s="1">
        <v>45756</v>
      </c>
      <c r="C387" s="2" t="s">
        <v>10</v>
      </c>
      <c r="D387">
        <v>48.28</v>
      </c>
      <c r="E387">
        <v>21</v>
      </c>
      <c r="F387">
        <v>1013.88</v>
      </c>
    </row>
    <row r="388" spans="1:6" x14ac:dyDescent="0.25">
      <c r="A388">
        <v>387</v>
      </c>
      <c r="B388" s="1">
        <v>45760</v>
      </c>
      <c r="C388" s="2" t="s">
        <v>28</v>
      </c>
      <c r="D388">
        <v>19.63</v>
      </c>
      <c r="E388">
        <v>43</v>
      </c>
      <c r="F388">
        <v>844.08999999999992</v>
      </c>
    </row>
    <row r="389" spans="1:6" x14ac:dyDescent="0.25">
      <c r="A389">
        <v>388</v>
      </c>
      <c r="B389" s="1">
        <v>45708</v>
      </c>
      <c r="C389" s="2" t="s">
        <v>27</v>
      </c>
      <c r="D389">
        <v>52.43</v>
      </c>
      <c r="E389">
        <v>140</v>
      </c>
      <c r="F389">
        <v>7340.2</v>
      </c>
    </row>
    <row r="390" spans="1:6" x14ac:dyDescent="0.25">
      <c r="A390">
        <v>389</v>
      </c>
      <c r="B390" s="1">
        <v>45800</v>
      </c>
      <c r="C390" s="2" t="s">
        <v>30</v>
      </c>
      <c r="D390">
        <v>92.6</v>
      </c>
      <c r="E390">
        <v>194</v>
      </c>
      <c r="F390">
        <v>17964.399999999998</v>
      </c>
    </row>
    <row r="391" spans="1:6" x14ac:dyDescent="0.25">
      <c r="A391">
        <v>390</v>
      </c>
      <c r="B391" s="1">
        <v>45813</v>
      </c>
      <c r="C391" s="2" t="s">
        <v>10</v>
      </c>
      <c r="D391">
        <v>113.08</v>
      </c>
      <c r="E391">
        <v>107</v>
      </c>
      <c r="F391">
        <v>12099.56</v>
      </c>
    </row>
    <row r="392" spans="1:6" x14ac:dyDescent="0.25">
      <c r="A392">
        <v>391</v>
      </c>
      <c r="B392" s="1">
        <v>45801</v>
      </c>
      <c r="C392" s="2" t="s">
        <v>26</v>
      </c>
      <c r="D392">
        <v>61.1</v>
      </c>
      <c r="E392">
        <v>34</v>
      </c>
      <c r="F392">
        <v>2077.4</v>
      </c>
    </row>
    <row r="393" spans="1:6" x14ac:dyDescent="0.25">
      <c r="A393">
        <v>392</v>
      </c>
      <c r="B393" s="1">
        <v>45775</v>
      </c>
      <c r="C393" s="2" t="s">
        <v>24</v>
      </c>
      <c r="D393">
        <v>31.87</v>
      </c>
      <c r="E393">
        <v>73</v>
      </c>
      <c r="F393">
        <v>2326.5100000000002</v>
      </c>
    </row>
    <row r="394" spans="1:6" x14ac:dyDescent="0.25">
      <c r="A394">
        <v>393</v>
      </c>
      <c r="B394" s="1">
        <v>45837</v>
      </c>
      <c r="C394" s="2" t="s">
        <v>10</v>
      </c>
      <c r="D394">
        <v>149.25</v>
      </c>
      <c r="E394">
        <v>117</v>
      </c>
      <c r="F394">
        <v>17462.25</v>
      </c>
    </row>
    <row r="395" spans="1:6" x14ac:dyDescent="0.25">
      <c r="A395">
        <v>394</v>
      </c>
      <c r="B395" s="1">
        <v>45724</v>
      </c>
      <c r="C395" s="2" t="s">
        <v>22</v>
      </c>
      <c r="D395">
        <v>102.98</v>
      </c>
      <c r="E395">
        <v>45</v>
      </c>
      <c r="F395">
        <v>4634.1000000000004</v>
      </c>
    </row>
    <row r="396" spans="1:6" x14ac:dyDescent="0.25">
      <c r="A396">
        <v>395</v>
      </c>
      <c r="B396" s="1">
        <v>45681</v>
      </c>
      <c r="C396" s="2" t="s">
        <v>27</v>
      </c>
      <c r="D396">
        <v>83.64</v>
      </c>
      <c r="E396">
        <v>68</v>
      </c>
      <c r="F396">
        <v>5687.52</v>
      </c>
    </row>
    <row r="397" spans="1:6" x14ac:dyDescent="0.25">
      <c r="A397">
        <v>396</v>
      </c>
      <c r="B397" s="1">
        <v>45749</v>
      </c>
      <c r="C397" s="2" t="s">
        <v>18</v>
      </c>
      <c r="D397">
        <v>119.21</v>
      </c>
      <c r="E397">
        <v>144</v>
      </c>
      <c r="F397">
        <v>17166.239999999998</v>
      </c>
    </row>
    <row r="398" spans="1:6" x14ac:dyDescent="0.25">
      <c r="A398">
        <v>397</v>
      </c>
      <c r="B398" s="1">
        <v>45765</v>
      </c>
      <c r="C398" s="2" t="s">
        <v>24</v>
      </c>
      <c r="D398">
        <v>77.7</v>
      </c>
      <c r="E398">
        <v>64</v>
      </c>
      <c r="F398">
        <v>4972.8</v>
      </c>
    </row>
    <row r="399" spans="1:6" x14ac:dyDescent="0.25">
      <c r="A399">
        <v>398</v>
      </c>
      <c r="B399" s="1">
        <v>45798</v>
      </c>
      <c r="C399" s="2" t="s">
        <v>19</v>
      </c>
      <c r="D399">
        <v>22.23</v>
      </c>
      <c r="E399">
        <v>153</v>
      </c>
      <c r="F399">
        <v>3401.19</v>
      </c>
    </row>
    <row r="400" spans="1:6" x14ac:dyDescent="0.25">
      <c r="A400">
        <v>399</v>
      </c>
      <c r="B400" s="1">
        <v>45752</v>
      </c>
      <c r="C400" s="2" t="s">
        <v>30</v>
      </c>
      <c r="D400">
        <v>50.74</v>
      </c>
      <c r="E400">
        <v>73</v>
      </c>
      <c r="F400">
        <v>3704.02</v>
      </c>
    </row>
    <row r="401" spans="1:6" x14ac:dyDescent="0.25">
      <c r="A401">
        <v>400</v>
      </c>
      <c r="B401" s="1">
        <v>45729</v>
      </c>
      <c r="C401" s="2" t="s">
        <v>29</v>
      </c>
      <c r="D401">
        <v>14.2</v>
      </c>
      <c r="E401">
        <v>76</v>
      </c>
      <c r="F401">
        <v>1079.2</v>
      </c>
    </row>
    <row r="402" spans="1:6" x14ac:dyDescent="0.25">
      <c r="A402">
        <v>401</v>
      </c>
      <c r="B402" s="1">
        <v>45809</v>
      </c>
      <c r="C402" s="2" t="s">
        <v>22</v>
      </c>
      <c r="D402">
        <v>55.55</v>
      </c>
      <c r="E402">
        <v>241</v>
      </c>
      <c r="F402">
        <v>13387.55</v>
      </c>
    </row>
    <row r="403" spans="1:6" x14ac:dyDescent="0.25">
      <c r="A403">
        <v>402</v>
      </c>
      <c r="B403" s="1">
        <v>45783</v>
      </c>
      <c r="C403" s="2" t="s">
        <v>17</v>
      </c>
      <c r="D403">
        <v>33.51</v>
      </c>
      <c r="E403">
        <v>150</v>
      </c>
      <c r="F403">
        <v>5026.5</v>
      </c>
    </row>
    <row r="404" spans="1:6" x14ac:dyDescent="0.25">
      <c r="A404">
        <v>403</v>
      </c>
      <c r="B404" s="1">
        <v>45827</v>
      </c>
      <c r="C404" s="2" t="s">
        <v>16</v>
      </c>
      <c r="D404">
        <v>120.18</v>
      </c>
      <c r="E404">
        <v>68</v>
      </c>
      <c r="F404">
        <v>8172.2400000000007</v>
      </c>
    </row>
    <row r="405" spans="1:6" x14ac:dyDescent="0.25">
      <c r="A405">
        <v>404</v>
      </c>
      <c r="B405" s="1">
        <v>45688</v>
      </c>
      <c r="C405" s="2" t="s">
        <v>24</v>
      </c>
      <c r="D405">
        <v>68.31</v>
      </c>
      <c r="E405">
        <v>141</v>
      </c>
      <c r="F405">
        <v>9631.7100000000009</v>
      </c>
    </row>
    <row r="406" spans="1:6" x14ac:dyDescent="0.25">
      <c r="A406">
        <v>405</v>
      </c>
      <c r="B406" s="1">
        <v>45833</v>
      </c>
      <c r="C406" s="2" t="s">
        <v>17</v>
      </c>
      <c r="D406">
        <v>22</v>
      </c>
      <c r="E406">
        <v>42</v>
      </c>
      <c r="F406">
        <v>924</v>
      </c>
    </row>
    <row r="407" spans="1:6" x14ac:dyDescent="0.25">
      <c r="A407">
        <v>406</v>
      </c>
      <c r="B407" s="1">
        <v>45724</v>
      </c>
      <c r="C407" s="2" t="s">
        <v>27</v>
      </c>
      <c r="D407">
        <v>44.31</v>
      </c>
      <c r="E407">
        <v>135</v>
      </c>
      <c r="F407">
        <v>5981.85</v>
      </c>
    </row>
    <row r="408" spans="1:6" x14ac:dyDescent="0.25">
      <c r="A408">
        <v>407</v>
      </c>
      <c r="B408" s="1">
        <v>45675</v>
      </c>
      <c r="C408" s="2" t="s">
        <v>27</v>
      </c>
      <c r="D408">
        <v>27.69</v>
      </c>
      <c r="E408">
        <v>46</v>
      </c>
      <c r="F408">
        <v>1273.74</v>
      </c>
    </row>
    <row r="409" spans="1:6" x14ac:dyDescent="0.25">
      <c r="A409">
        <v>408</v>
      </c>
      <c r="B409" s="1">
        <v>45684</v>
      </c>
      <c r="C409" s="2" t="s">
        <v>13</v>
      </c>
      <c r="D409">
        <v>93.4</v>
      </c>
      <c r="E409">
        <v>45</v>
      </c>
      <c r="F409">
        <v>4203</v>
      </c>
    </row>
    <row r="410" spans="1:6" x14ac:dyDescent="0.25">
      <c r="A410">
        <v>409</v>
      </c>
      <c r="B410" s="1">
        <v>45714</v>
      </c>
      <c r="C410" s="2" t="s">
        <v>15</v>
      </c>
      <c r="D410">
        <v>72.73</v>
      </c>
      <c r="E410">
        <v>193</v>
      </c>
      <c r="F410">
        <v>14036.890000000001</v>
      </c>
    </row>
    <row r="411" spans="1:6" x14ac:dyDescent="0.25">
      <c r="A411">
        <v>410</v>
      </c>
      <c r="B411" s="1">
        <v>45691</v>
      </c>
      <c r="C411" s="2" t="s">
        <v>25</v>
      </c>
      <c r="D411">
        <v>58.45</v>
      </c>
      <c r="E411">
        <v>234</v>
      </c>
      <c r="F411">
        <v>13677.300000000001</v>
      </c>
    </row>
    <row r="412" spans="1:6" x14ac:dyDescent="0.25">
      <c r="A412">
        <v>411</v>
      </c>
      <c r="B412" s="1">
        <v>45765</v>
      </c>
      <c r="C412" s="2" t="s">
        <v>12</v>
      </c>
      <c r="D412">
        <v>7.67</v>
      </c>
      <c r="E412">
        <v>151</v>
      </c>
      <c r="F412">
        <v>1158.17</v>
      </c>
    </row>
    <row r="413" spans="1:6" x14ac:dyDescent="0.25">
      <c r="A413">
        <v>412</v>
      </c>
      <c r="B413" s="1">
        <v>45750</v>
      </c>
      <c r="C413" s="2" t="s">
        <v>13</v>
      </c>
      <c r="D413">
        <v>95.85</v>
      </c>
      <c r="E413">
        <v>34</v>
      </c>
      <c r="F413">
        <v>3258.8999999999996</v>
      </c>
    </row>
    <row r="414" spans="1:6" x14ac:dyDescent="0.25">
      <c r="A414">
        <v>413</v>
      </c>
      <c r="B414" s="1">
        <v>45760</v>
      </c>
      <c r="C414" s="2" t="s">
        <v>24</v>
      </c>
      <c r="D414">
        <v>59.45</v>
      </c>
      <c r="E414">
        <v>183</v>
      </c>
      <c r="F414">
        <v>10879.35</v>
      </c>
    </row>
    <row r="415" spans="1:6" x14ac:dyDescent="0.25">
      <c r="A415">
        <v>414</v>
      </c>
      <c r="B415" s="1">
        <v>45825</v>
      </c>
      <c r="C415" s="2" t="s">
        <v>8</v>
      </c>
      <c r="D415">
        <v>9.92</v>
      </c>
      <c r="E415">
        <v>45</v>
      </c>
      <c r="F415">
        <v>446.4</v>
      </c>
    </row>
    <row r="416" spans="1:6" x14ac:dyDescent="0.25">
      <c r="A416">
        <v>415</v>
      </c>
      <c r="B416" s="1">
        <v>45790</v>
      </c>
      <c r="C416" s="2" t="s">
        <v>24</v>
      </c>
      <c r="D416">
        <v>16.53</v>
      </c>
      <c r="E416">
        <v>165</v>
      </c>
      <c r="F416">
        <v>2727.4500000000003</v>
      </c>
    </row>
    <row r="417" spans="1:6" x14ac:dyDescent="0.25">
      <c r="A417">
        <v>416</v>
      </c>
      <c r="B417" s="1">
        <v>45706</v>
      </c>
      <c r="C417" s="2" t="s">
        <v>13</v>
      </c>
      <c r="D417">
        <v>17.399999999999999</v>
      </c>
      <c r="E417">
        <v>52</v>
      </c>
      <c r="F417">
        <v>904.8</v>
      </c>
    </row>
    <row r="418" spans="1:6" x14ac:dyDescent="0.25">
      <c r="A418">
        <v>417</v>
      </c>
      <c r="B418" s="1">
        <v>45659</v>
      </c>
      <c r="C418" s="2" t="s">
        <v>7</v>
      </c>
      <c r="D418">
        <v>85.18</v>
      </c>
      <c r="E418">
        <v>74</v>
      </c>
      <c r="F418">
        <v>6303.3200000000006</v>
      </c>
    </row>
    <row r="419" spans="1:6" x14ac:dyDescent="0.25">
      <c r="A419">
        <v>418</v>
      </c>
      <c r="B419" s="1">
        <v>45780</v>
      </c>
      <c r="C419" s="2" t="s">
        <v>26</v>
      </c>
      <c r="D419">
        <v>96.85</v>
      </c>
      <c r="E419">
        <v>113</v>
      </c>
      <c r="F419">
        <v>10944.05</v>
      </c>
    </row>
    <row r="420" spans="1:6" x14ac:dyDescent="0.25">
      <c r="A420">
        <v>419</v>
      </c>
      <c r="B420" s="1">
        <v>45780</v>
      </c>
      <c r="C420" s="2" t="s">
        <v>21</v>
      </c>
      <c r="D420">
        <v>108.55</v>
      </c>
      <c r="E420">
        <v>31</v>
      </c>
      <c r="F420">
        <v>3365.0499999999997</v>
      </c>
    </row>
    <row r="421" spans="1:6" x14ac:dyDescent="0.25">
      <c r="A421">
        <v>420</v>
      </c>
      <c r="B421" s="1">
        <v>45783</v>
      </c>
      <c r="C421" s="2" t="s">
        <v>18</v>
      </c>
      <c r="D421">
        <v>46.34</v>
      </c>
      <c r="E421">
        <v>214</v>
      </c>
      <c r="F421">
        <v>9916.76</v>
      </c>
    </row>
    <row r="422" spans="1:6" x14ac:dyDescent="0.25">
      <c r="A422">
        <v>421</v>
      </c>
      <c r="B422" s="1">
        <v>45714</v>
      </c>
      <c r="C422" s="2" t="s">
        <v>20</v>
      </c>
      <c r="D422">
        <v>39.909999999999997</v>
      </c>
      <c r="E422">
        <v>44</v>
      </c>
      <c r="F422">
        <v>1756.04</v>
      </c>
    </row>
    <row r="423" spans="1:6" x14ac:dyDescent="0.25">
      <c r="A423">
        <v>422</v>
      </c>
      <c r="B423" s="1">
        <v>45781</v>
      </c>
      <c r="C423" s="2" t="s">
        <v>30</v>
      </c>
      <c r="D423">
        <v>101.83</v>
      </c>
      <c r="E423">
        <v>102</v>
      </c>
      <c r="F423">
        <v>10386.66</v>
      </c>
    </row>
    <row r="424" spans="1:6" x14ac:dyDescent="0.25">
      <c r="A424">
        <v>423</v>
      </c>
      <c r="B424" s="1">
        <v>45682</v>
      </c>
      <c r="C424" s="2" t="s">
        <v>14</v>
      </c>
      <c r="D424">
        <v>20.91</v>
      </c>
      <c r="E424">
        <v>61</v>
      </c>
      <c r="F424">
        <v>1275.51</v>
      </c>
    </row>
    <row r="425" spans="1:6" x14ac:dyDescent="0.25">
      <c r="A425">
        <v>424</v>
      </c>
      <c r="B425" s="1">
        <v>45779</v>
      </c>
      <c r="C425" s="2" t="s">
        <v>8</v>
      </c>
      <c r="D425">
        <v>42.39</v>
      </c>
      <c r="E425">
        <v>234</v>
      </c>
      <c r="F425">
        <v>9919.26</v>
      </c>
    </row>
    <row r="426" spans="1:6" x14ac:dyDescent="0.25">
      <c r="A426">
        <v>425</v>
      </c>
      <c r="B426" s="1">
        <v>45733</v>
      </c>
      <c r="C426" s="2" t="s">
        <v>17</v>
      </c>
      <c r="D426">
        <v>20.25</v>
      </c>
      <c r="E426">
        <v>74</v>
      </c>
      <c r="F426">
        <v>1498.5</v>
      </c>
    </row>
    <row r="427" spans="1:6" x14ac:dyDescent="0.25">
      <c r="A427">
        <v>426</v>
      </c>
      <c r="B427" s="1">
        <v>45829</v>
      </c>
      <c r="C427" s="2" t="s">
        <v>24</v>
      </c>
      <c r="D427">
        <v>62.66</v>
      </c>
      <c r="E427">
        <v>261</v>
      </c>
      <c r="F427">
        <v>16354.259999999998</v>
      </c>
    </row>
    <row r="428" spans="1:6" x14ac:dyDescent="0.25">
      <c r="A428">
        <v>427</v>
      </c>
      <c r="B428" s="1">
        <v>45672</v>
      </c>
      <c r="C428" s="2" t="s">
        <v>11</v>
      </c>
      <c r="D428">
        <v>26.18</v>
      </c>
      <c r="E428">
        <v>50</v>
      </c>
      <c r="F428">
        <v>1309</v>
      </c>
    </row>
    <row r="429" spans="1:6" x14ac:dyDescent="0.25">
      <c r="A429">
        <v>428</v>
      </c>
      <c r="B429" s="1">
        <v>45735</v>
      </c>
      <c r="C429" s="2" t="s">
        <v>26</v>
      </c>
      <c r="D429">
        <v>59.47</v>
      </c>
      <c r="E429">
        <v>92</v>
      </c>
      <c r="F429">
        <v>5471.24</v>
      </c>
    </row>
    <row r="430" spans="1:6" x14ac:dyDescent="0.25">
      <c r="A430">
        <v>429</v>
      </c>
      <c r="B430" s="1">
        <v>45729</v>
      </c>
      <c r="C430" s="2" t="s">
        <v>18</v>
      </c>
      <c r="D430">
        <v>11.56</v>
      </c>
      <c r="E430">
        <v>82</v>
      </c>
      <c r="F430">
        <v>947.92000000000007</v>
      </c>
    </row>
    <row r="431" spans="1:6" x14ac:dyDescent="0.25">
      <c r="A431">
        <v>430</v>
      </c>
      <c r="B431" s="1">
        <v>45810</v>
      </c>
      <c r="C431" s="2" t="s">
        <v>13</v>
      </c>
      <c r="D431">
        <v>96.41</v>
      </c>
      <c r="E431">
        <v>146</v>
      </c>
      <c r="F431">
        <v>14075.859999999999</v>
      </c>
    </row>
    <row r="432" spans="1:6" x14ac:dyDescent="0.25">
      <c r="A432">
        <v>431</v>
      </c>
      <c r="B432" s="1">
        <v>45760</v>
      </c>
      <c r="C432" s="2" t="s">
        <v>9</v>
      </c>
      <c r="D432">
        <v>13.94</v>
      </c>
      <c r="E432">
        <v>76</v>
      </c>
      <c r="F432">
        <v>1059.44</v>
      </c>
    </row>
    <row r="433" spans="1:6" x14ac:dyDescent="0.25">
      <c r="A433">
        <v>432</v>
      </c>
      <c r="B433" s="1">
        <v>45835</v>
      </c>
      <c r="C433" s="2" t="s">
        <v>15</v>
      </c>
      <c r="D433">
        <v>37.270000000000003</v>
      </c>
      <c r="E433">
        <v>193</v>
      </c>
      <c r="F433">
        <v>7193.1100000000006</v>
      </c>
    </row>
    <row r="434" spans="1:6" x14ac:dyDescent="0.25">
      <c r="A434">
        <v>433</v>
      </c>
      <c r="B434" s="1">
        <v>45729</v>
      </c>
      <c r="C434" s="2" t="s">
        <v>6</v>
      </c>
      <c r="D434">
        <v>17.829999999999998</v>
      </c>
      <c r="E434">
        <v>228</v>
      </c>
      <c r="F434">
        <v>4065.24</v>
      </c>
    </row>
    <row r="435" spans="1:6" x14ac:dyDescent="0.25">
      <c r="A435">
        <v>434</v>
      </c>
      <c r="B435" s="1">
        <v>45832</v>
      </c>
      <c r="C435" s="2" t="s">
        <v>22</v>
      </c>
      <c r="D435">
        <v>33.44</v>
      </c>
      <c r="E435">
        <v>66</v>
      </c>
      <c r="F435">
        <v>2207.04</v>
      </c>
    </row>
    <row r="436" spans="1:6" x14ac:dyDescent="0.25">
      <c r="A436">
        <v>435</v>
      </c>
      <c r="B436" s="1">
        <v>45682</v>
      </c>
      <c r="C436" s="2" t="s">
        <v>20</v>
      </c>
      <c r="D436">
        <v>26.39</v>
      </c>
      <c r="E436">
        <v>139</v>
      </c>
      <c r="F436">
        <v>3668.21</v>
      </c>
    </row>
    <row r="437" spans="1:6" x14ac:dyDescent="0.25">
      <c r="A437">
        <v>436</v>
      </c>
      <c r="B437" s="1">
        <v>45716</v>
      </c>
      <c r="C437" s="2" t="s">
        <v>19</v>
      </c>
      <c r="D437">
        <v>56.13</v>
      </c>
      <c r="E437">
        <v>123</v>
      </c>
      <c r="F437">
        <v>6903.9900000000007</v>
      </c>
    </row>
    <row r="438" spans="1:6" x14ac:dyDescent="0.25">
      <c r="A438">
        <v>437</v>
      </c>
      <c r="B438" s="1">
        <v>45711</v>
      </c>
      <c r="C438" s="2" t="s">
        <v>18</v>
      </c>
      <c r="D438">
        <v>75.56</v>
      </c>
      <c r="E438">
        <v>180</v>
      </c>
      <c r="F438">
        <v>13600.800000000001</v>
      </c>
    </row>
    <row r="439" spans="1:6" x14ac:dyDescent="0.25">
      <c r="A439">
        <v>438</v>
      </c>
      <c r="B439" s="1">
        <v>45658</v>
      </c>
      <c r="C439" s="2" t="s">
        <v>22</v>
      </c>
      <c r="D439">
        <v>98.03</v>
      </c>
      <c r="E439">
        <v>51</v>
      </c>
      <c r="F439">
        <v>4999.53</v>
      </c>
    </row>
    <row r="440" spans="1:6" x14ac:dyDescent="0.25">
      <c r="A440">
        <v>439</v>
      </c>
      <c r="B440" s="1">
        <v>45765</v>
      </c>
      <c r="C440" s="2" t="s">
        <v>30</v>
      </c>
      <c r="D440">
        <v>99.12</v>
      </c>
      <c r="E440">
        <v>99</v>
      </c>
      <c r="F440">
        <v>9812.880000000001</v>
      </c>
    </row>
    <row r="441" spans="1:6" x14ac:dyDescent="0.25">
      <c r="A441">
        <v>440</v>
      </c>
      <c r="B441" s="1">
        <v>45753</v>
      </c>
      <c r="C441" s="2" t="s">
        <v>21</v>
      </c>
      <c r="D441">
        <v>8.3699999999999992</v>
      </c>
      <c r="E441">
        <v>100</v>
      </c>
      <c r="F441">
        <v>836.99999999999989</v>
      </c>
    </row>
    <row r="442" spans="1:6" x14ac:dyDescent="0.25">
      <c r="A442">
        <v>441</v>
      </c>
      <c r="B442" s="1">
        <v>45828</v>
      </c>
      <c r="C442" s="2" t="s">
        <v>24</v>
      </c>
      <c r="D442">
        <v>104.72</v>
      </c>
      <c r="E442">
        <v>88</v>
      </c>
      <c r="F442">
        <v>9215.36</v>
      </c>
    </row>
    <row r="443" spans="1:6" x14ac:dyDescent="0.25">
      <c r="A443">
        <v>442</v>
      </c>
      <c r="B443" s="1">
        <v>45725</v>
      </c>
      <c r="C443" s="2" t="s">
        <v>8</v>
      </c>
      <c r="D443">
        <v>15.98</v>
      </c>
      <c r="E443">
        <v>133</v>
      </c>
      <c r="F443">
        <v>2125.34</v>
      </c>
    </row>
    <row r="444" spans="1:6" x14ac:dyDescent="0.25">
      <c r="A444">
        <v>443</v>
      </c>
      <c r="B444" s="1">
        <v>45773</v>
      </c>
      <c r="C444" s="2" t="s">
        <v>7</v>
      </c>
      <c r="D444">
        <v>76.760000000000005</v>
      </c>
      <c r="E444">
        <v>104</v>
      </c>
      <c r="F444">
        <v>7983.0400000000009</v>
      </c>
    </row>
    <row r="445" spans="1:6" x14ac:dyDescent="0.25">
      <c r="A445">
        <v>444</v>
      </c>
      <c r="B445" s="1">
        <v>45750</v>
      </c>
      <c r="C445" s="2" t="s">
        <v>29</v>
      </c>
      <c r="D445">
        <v>93.54</v>
      </c>
      <c r="E445">
        <v>25</v>
      </c>
      <c r="F445">
        <v>2338.5</v>
      </c>
    </row>
    <row r="446" spans="1:6" x14ac:dyDescent="0.25">
      <c r="A446">
        <v>445</v>
      </c>
      <c r="B446" s="1">
        <v>45726</v>
      </c>
      <c r="C446" s="2" t="s">
        <v>12</v>
      </c>
      <c r="D446">
        <v>108.73</v>
      </c>
      <c r="E446">
        <v>31</v>
      </c>
      <c r="F446">
        <v>3370.63</v>
      </c>
    </row>
    <row r="447" spans="1:6" x14ac:dyDescent="0.25">
      <c r="A447">
        <v>446</v>
      </c>
      <c r="B447" s="1">
        <v>45673</v>
      </c>
      <c r="C447" s="2" t="s">
        <v>22</v>
      </c>
      <c r="D447">
        <v>84.01</v>
      </c>
      <c r="E447">
        <v>83</v>
      </c>
      <c r="F447">
        <v>6972.8300000000008</v>
      </c>
    </row>
    <row r="448" spans="1:6" x14ac:dyDescent="0.25">
      <c r="A448">
        <v>447</v>
      </c>
      <c r="B448" s="1">
        <v>45719</v>
      </c>
      <c r="C448" s="2" t="s">
        <v>28</v>
      </c>
      <c r="D448">
        <v>28.3</v>
      </c>
      <c r="E448">
        <v>201</v>
      </c>
      <c r="F448">
        <v>5688.3</v>
      </c>
    </row>
    <row r="449" spans="1:6" x14ac:dyDescent="0.25">
      <c r="A449">
        <v>448</v>
      </c>
      <c r="B449" s="1">
        <v>45697</v>
      </c>
      <c r="C449" s="2" t="s">
        <v>29</v>
      </c>
      <c r="D449">
        <v>53.41</v>
      </c>
      <c r="E449">
        <v>124</v>
      </c>
      <c r="F449">
        <v>6622.8399999999992</v>
      </c>
    </row>
    <row r="450" spans="1:6" x14ac:dyDescent="0.25">
      <c r="A450">
        <v>449</v>
      </c>
      <c r="B450" s="1">
        <v>45812</v>
      </c>
      <c r="C450" s="2" t="s">
        <v>25</v>
      </c>
      <c r="D450">
        <v>55.27</v>
      </c>
      <c r="E450">
        <v>113</v>
      </c>
      <c r="F450">
        <v>6245.51</v>
      </c>
    </row>
    <row r="451" spans="1:6" x14ac:dyDescent="0.25">
      <c r="A451">
        <v>450</v>
      </c>
      <c r="B451" s="1">
        <v>45720</v>
      </c>
      <c r="C451" s="2" t="s">
        <v>13</v>
      </c>
      <c r="D451">
        <v>119.22</v>
      </c>
      <c r="E451">
        <v>49</v>
      </c>
      <c r="F451">
        <v>5841.78</v>
      </c>
    </row>
    <row r="452" spans="1:6" x14ac:dyDescent="0.25">
      <c r="A452">
        <v>451</v>
      </c>
      <c r="B452" s="1">
        <v>45761</v>
      </c>
      <c r="C452" s="2" t="s">
        <v>27</v>
      </c>
      <c r="D452">
        <v>17.82</v>
      </c>
      <c r="E452">
        <v>106</v>
      </c>
      <c r="F452">
        <v>1888.92</v>
      </c>
    </row>
    <row r="453" spans="1:6" x14ac:dyDescent="0.25">
      <c r="A453">
        <v>452</v>
      </c>
      <c r="B453" s="1">
        <v>45708</v>
      </c>
      <c r="C453" s="2" t="s">
        <v>22</v>
      </c>
      <c r="D453">
        <v>36.090000000000003</v>
      </c>
      <c r="E453">
        <v>135</v>
      </c>
      <c r="F453">
        <v>4872.1500000000005</v>
      </c>
    </row>
    <row r="454" spans="1:6" x14ac:dyDescent="0.25">
      <c r="A454">
        <v>453</v>
      </c>
      <c r="B454" s="1">
        <v>45805</v>
      </c>
      <c r="C454" s="2" t="s">
        <v>26</v>
      </c>
      <c r="D454">
        <v>25.89</v>
      </c>
      <c r="E454">
        <v>100</v>
      </c>
      <c r="F454">
        <v>2589</v>
      </c>
    </row>
    <row r="455" spans="1:6" x14ac:dyDescent="0.25">
      <c r="A455">
        <v>454</v>
      </c>
      <c r="B455" s="1">
        <v>45703</v>
      </c>
      <c r="C455" s="2" t="s">
        <v>10</v>
      </c>
      <c r="D455">
        <v>41.37</v>
      </c>
      <c r="E455">
        <v>75</v>
      </c>
      <c r="F455">
        <v>3102.75</v>
      </c>
    </row>
    <row r="456" spans="1:6" x14ac:dyDescent="0.25">
      <c r="A456">
        <v>455</v>
      </c>
      <c r="B456" s="1">
        <v>45804</v>
      </c>
      <c r="C456" s="2" t="s">
        <v>20</v>
      </c>
      <c r="D456">
        <v>54.13</v>
      </c>
      <c r="E456">
        <v>89</v>
      </c>
      <c r="F456">
        <v>4817.5700000000006</v>
      </c>
    </row>
    <row r="457" spans="1:6" x14ac:dyDescent="0.25">
      <c r="A457">
        <v>456</v>
      </c>
      <c r="B457" s="1">
        <v>45659</v>
      </c>
      <c r="C457" s="2" t="s">
        <v>24</v>
      </c>
      <c r="D457">
        <v>137.97</v>
      </c>
      <c r="E457">
        <v>82</v>
      </c>
      <c r="F457">
        <v>11313.539999999999</v>
      </c>
    </row>
    <row r="458" spans="1:6" x14ac:dyDescent="0.25">
      <c r="A458">
        <v>457</v>
      </c>
      <c r="B458" s="1">
        <v>45826</v>
      </c>
      <c r="C458" s="2" t="s">
        <v>22</v>
      </c>
      <c r="D458">
        <v>67.069999999999993</v>
      </c>
      <c r="E458">
        <v>66</v>
      </c>
      <c r="F458">
        <v>4426.62</v>
      </c>
    </row>
    <row r="459" spans="1:6" x14ac:dyDescent="0.25">
      <c r="A459">
        <v>458</v>
      </c>
      <c r="B459" s="1">
        <v>45821</v>
      </c>
      <c r="C459" s="2" t="s">
        <v>15</v>
      </c>
      <c r="D459">
        <v>95.3</v>
      </c>
      <c r="E459">
        <v>42</v>
      </c>
      <c r="F459">
        <v>4002.6</v>
      </c>
    </row>
    <row r="460" spans="1:6" x14ac:dyDescent="0.25">
      <c r="A460">
        <v>459</v>
      </c>
      <c r="B460" s="1">
        <v>45762</v>
      </c>
      <c r="C460" s="2" t="s">
        <v>27</v>
      </c>
      <c r="D460">
        <v>125.23</v>
      </c>
      <c r="E460">
        <v>38</v>
      </c>
      <c r="F460">
        <v>4758.74</v>
      </c>
    </row>
    <row r="461" spans="1:6" x14ac:dyDescent="0.25">
      <c r="A461">
        <v>460</v>
      </c>
      <c r="B461" s="1">
        <v>45806</v>
      </c>
      <c r="C461" s="2" t="s">
        <v>7</v>
      </c>
      <c r="D461">
        <v>23.02</v>
      </c>
      <c r="E461">
        <v>138</v>
      </c>
      <c r="F461">
        <v>3176.7599999999998</v>
      </c>
    </row>
    <row r="462" spans="1:6" x14ac:dyDescent="0.25">
      <c r="A462">
        <v>461</v>
      </c>
      <c r="B462" s="1">
        <v>45824</v>
      </c>
      <c r="C462" s="2" t="s">
        <v>27</v>
      </c>
      <c r="D462">
        <v>64.489999999999995</v>
      </c>
      <c r="E462">
        <v>119</v>
      </c>
      <c r="F462">
        <v>7674.3099999999995</v>
      </c>
    </row>
    <row r="463" spans="1:6" x14ac:dyDescent="0.25">
      <c r="A463">
        <v>462</v>
      </c>
      <c r="B463" s="1">
        <v>45699</v>
      </c>
      <c r="C463" s="2" t="s">
        <v>27</v>
      </c>
      <c r="D463">
        <v>43.57</v>
      </c>
      <c r="E463">
        <v>227</v>
      </c>
      <c r="F463">
        <v>9890.39</v>
      </c>
    </row>
    <row r="464" spans="1:6" x14ac:dyDescent="0.25">
      <c r="A464">
        <v>463</v>
      </c>
      <c r="B464" s="1">
        <v>45684</v>
      </c>
      <c r="C464" s="2" t="s">
        <v>16</v>
      </c>
      <c r="D464">
        <v>53.41</v>
      </c>
      <c r="E464">
        <v>177</v>
      </c>
      <c r="F464">
        <v>9453.57</v>
      </c>
    </row>
    <row r="465" spans="1:6" x14ac:dyDescent="0.25">
      <c r="A465">
        <v>464</v>
      </c>
      <c r="B465" s="1">
        <v>45697</v>
      </c>
      <c r="C465" s="2" t="s">
        <v>23</v>
      </c>
      <c r="D465">
        <v>24.47</v>
      </c>
      <c r="E465">
        <v>149</v>
      </c>
      <c r="F465">
        <v>3646.0299999999997</v>
      </c>
    </row>
    <row r="466" spans="1:6" x14ac:dyDescent="0.25">
      <c r="A466">
        <v>465</v>
      </c>
      <c r="B466" s="1">
        <v>45832</v>
      </c>
      <c r="C466" s="2" t="s">
        <v>27</v>
      </c>
      <c r="D466">
        <v>13.79</v>
      </c>
      <c r="E466">
        <v>137</v>
      </c>
      <c r="F466">
        <v>1889.2299999999998</v>
      </c>
    </row>
    <row r="467" spans="1:6" x14ac:dyDescent="0.25">
      <c r="A467">
        <v>466</v>
      </c>
      <c r="B467" s="1">
        <v>45741</v>
      </c>
      <c r="C467" s="2" t="s">
        <v>7</v>
      </c>
      <c r="D467">
        <v>20.52</v>
      </c>
      <c r="E467">
        <v>196</v>
      </c>
      <c r="F467">
        <v>4021.92</v>
      </c>
    </row>
    <row r="468" spans="1:6" x14ac:dyDescent="0.25">
      <c r="A468">
        <v>467</v>
      </c>
      <c r="B468" s="1">
        <v>45677</v>
      </c>
      <c r="C468" s="2" t="s">
        <v>28</v>
      </c>
      <c r="D468">
        <v>146.16999999999999</v>
      </c>
      <c r="E468">
        <v>115</v>
      </c>
      <c r="F468">
        <v>16809.55</v>
      </c>
    </row>
    <row r="469" spans="1:6" x14ac:dyDescent="0.25">
      <c r="A469">
        <v>468</v>
      </c>
      <c r="B469" s="1">
        <v>45705</v>
      </c>
      <c r="C469" s="2" t="s">
        <v>8</v>
      </c>
      <c r="D469">
        <v>114.21</v>
      </c>
      <c r="E469">
        <v>41</v>
      </c>
      <c r="F469">
        <v>4682.6099999999997</v>
      </c>
    </row>
    <row r="470" spans="1:6" x14ac:dyDescent="0.25">
      <c r="A470">
        <v>469</v>
      </c>
      <c r="B470" s="1">
        <v>45806</v>
      </c>
      <c r="C470" s="2" t="s">
        <v>27</v>
      </c>
      <c r="D470">
        <v>11.69</v>
      </c>
      <c r="E470">
        <v>135</v>
      </c>
      <c r="F470">
        <v>1578.1499999999999</v>
      </c>
    </row>
    <row r="471" spans="1:6" x14ac:dyDescent="0.25">
      <c r="A471">
        <v>470</v>
      </c>
      <c r="B471" s="1">
        <v>45662</v>
      </c>
      <c r="C471" s="2" t="s">
        <v>25</v>
      </c>
      <c r="D471">
        <v>128.49</v>
      </c>
      <c r="E471">
        <v>66</v>
      </c>
      <c r="F471">
        <v>8480.34</v>
      </c>
    </row>
    <row r="472" spans="1:6" x14ac:dyDescent="0.25">
      <c r="A472">
        <v>471</v>
      </c>
      <c r="B472" s="1">
        <v>45782</v>
      </c>
      <c r="C472" s="2" t="s">
        <v>19</v>
      </c>
      <c r="D472">
        <v>7.55</v>
      </c>
      <c r="E472">
        <v>32</v>
      </c>
      <c r="F472">
        <v>241.6</v>
      </c>
    </row>
    <row r="473" spans="1:6" x14ac:dyDescent="0.25">
      <c r="A473">
        <v>472</v>
      </c>
      <c r="B473" s="1">
        <v>45821</v>
      </c>
      <c r="C473" s="2" t="s">
        <v>21</v>
      </c>
      <c r="D473">
        <v>49.79</v>
      </c>
      <c r="E473">
        <v>42</v>
      </c>
      <c r="F473">
        <v>2091.1799999999998</v>
      </c>
    </row>
    <row r="474" spans="1:6" x14ac:dyDescent="0.25">
      <c r="A474">
        <v>473</v>
      </c>
      <c r="B474" s="1">
        <v>45726</v>
      </c>
      <c r="C474" s="2" t="s">
        <v>12</v>
      </c>
      <c r="D474">
        <v>74.25</v>
      </c>
      <c r="E474">
        <v>137</v>
      </c>
      <c r="F474">
        <v>10172.25</v>
      </c>
    </row>
    <row r="475" spans="1:6" x14ac:dyDescent="0.25">
      <c r="A475">
        <v>474</v>
      </c>
      <c r="B475" s="1">
        <v>45788</v>
      </c>
      <c r="C475" s="2" t="s">
        <v>23</v>
      </c>
      <c r="D475">
        <v>63.86</v>
      </c>
      <c r="E475">
        <v>77</v>
      </c>
      <c r="F475">
        <v>4917.22</v>
      </c>
    </row>
    <row r="476" spans="1:6" x14ac:dyDescent="0.25">
      <c r="A476">
        <v>475</v>
      </c>
      <c r="B476" s="1">
        <v>45836</v>
      </c>
      <c r="C476" s="2" t="s">
        <v>11</v>
      </c>
      <c r="D476">
        <v>125.12</v>
      </c>
      <c r="E476">
        <v>85</v>
      </c>
      <c r="F476">
        <v>10635.2</v>
      </c>
    </row>
    <row r="477" spans="1:6" x14ac:dyDescent="0.25">
      <c r="A477">
        <v>476</v>
      </c>
      <c r="B477" s="1">
        <v>45768</v>
      </c>
      <c r="C477" s="2" t="s">
        <v>19</v>
      </c>
      <c r="D477">
        <v>32.590000000000003</v>
      </c>
      <c r="E477">
        <v>177</v>
      </c>
      <c r="F477">
        <v>5768.43</v>
      </c>
    </row>
    <row r="478" spans="1:6" x14ac:dyDescent="0.25">
      <c r="A478">
        <v>477</v>
      </c>
      <c r="B478" s="1">
        <v>45696</v>
      </c>
      <c r="C478" s="2" t="s">
        <v>22</v>
      </c>
      <c r="D478">
        <v>98</v>
      </c>
      <c r="E478">
        <v>48</v>
      </c>
      <c r="F478">
        <v>4704</v>
      </c>
    </row>
    <row r="479" spans="1:6" x14ac:dyDescent="0.25">
      <c r="A479">
        <v>478</v>
      </c>
      <c r="B479" s="1">
        <v>45820</v>
      </c>
      <c r="C479" s="2" t="s">
        <v>28</v>
      </c>
      <c r="D479">
        <v>85.82</v>
      </c>
      <c r="E479">
        <v>86</v>
      </c>
      <c r="F479">
        <v>7380.5199999999995</v>
      </c>
    </row>
    <row r="480" spans="1:6" x14ac:dyDescent="0.25">
      <c r="A480">
        <v>479</v>
      </c>
      <c r="B480" s="1">
        <v>45823</v>
      </c>
      <c r="C480" s="2" t="s">
        <v>8</v>
      </c>
      <c r="D480">
        <v>17.16</v>
      </c>
      <c r="E480">
        <v>241</v>
      </c>
      <c r="F480">
        <v>4135.5600000000004</v>
      </c>
    </row>
    <row r="481" spans="1:6" x14ac:dyDescent="0.25">
      <c r="A481">
        <v>480</v>
      </c>
      <c r="B481" s="1">
        <v>45832</v>
      </c>
      <c r="C481" s="2" t="s">
        <v>7</v>
      </c>
      <c r="D481">
        <v>28.06</v>
      </c>
      <c r="E481">
        <v>70</v>
      </c>
      <c r="F481">
        <v>1964.1999999999998</v>
      </c>
    </row>
    <row r="482" spans="1:6" x14ac:dyDescent="0.25">
      <c r="A482">
        <v>481</v>
      </c>
      <c r="B482" s="1">
        <v>45765</v>
      </c>
      <c r="C482" s="2" t="s">
        <v>27</v>
      </c>
      <c r="D482">
        <v>61.55</v>
      </c>
      <c r="E482">
        <v>37</v>
      </c>
      <c r="F482">
        <v>2277.35</v>
      </c>
    </row>
    <row r="483" spans="1:6" x14ac:dyDescent="0.25">
      <c r="A483">
        <v>482</v>
      </c>
      <c r="B483" s="1">
        <v>45708</v>
      </c>
      <c r="C483" s="2" t="s">
        <v>13</v>
      </c>
      <c r="D483">
        <v>12.98</v>
      </c>
      <c r="E483">
        <v>93</v>
      </c>
      <c r="F483">
        <v>1207.1400000000001</v>
      </c>
    </row>
    <row r="484" spans="1:6" x14ac:dyDescent="0.25">
      <c r="A484">
        <v>483</v>
      </c>
      <c r="B484" s="1">
        <v>45738</v>
      </c>
      <c r="C484" s="2" t="s">
        <v>24</v>
      </c>
      <c r="D484">
        <v>64.81</v>
      </c>
      <c r="E484">
        <v>222</v>
      </c>
      <c r="F484">
        <v>14387.82</v>
      </c>
    </row>
    <row r="485" spans="1:6" x14ac:dyDescent="0.25">
      <c r="A485">
        <v>484</v>
      </c>
      <c r="B485" s="1">
        <v>45804</v>
      </c>
      <c r="C485" s="2" t="s">
        <v>6</v>
      </c>
      <c r="D485">
        <v>82.92</v>
      </c>
      <c r="E485">
        <v>46</v>
      </c>
      <c r="F485">
        <v>3814.32</v>
      </c>
    </row>
    <row r="486" spans="1:6" x14ac:dyDescent="0.25">
      <c r="A486">
        <v>485</v>
      </c>
      <c r="B486" s="1">
        <v>45706</v>
      </c>
      <c r="C486" s="2" t="s">
        <v>24</v>
      </c>
      <c r="D486">
        <v>74.33</v>
      </c>
      <c r="E486">
        <v>62</v>
      </c>
      <c r="F486">
        <v>4608.46</v>
      </c>
    </row>
    <row r="487" spans="1:6" x14ac:dyDescent="0.25">
      <c r="A487">
        <v>486</v>
      </c>
      <c r="B487" s="1">
        <v>45770</v>
      </c>
      <c r="C487" s="2" t="s">
        <v>18</v>
      </c>
      <c r="D487">
        <v>118.59</v>
      </c>
      <c r="E487">
        <v>68</v>
      </c>
      <c r="F487">
        <v>8064.12</v>
      </c>
    </row>
    <row r="488" spans="1:6" x14ac:dyDescent="0.25">
      <c r="A488">
        <v>487</v>
      </c>
      <c r="B488" s="1">
        <v>45787</v>
      </c>
      <c r="C488" s="2" t="s">
        <v>26</v>
      </c>
      <c r="D488">
        <v>6.3</v>
      </c>
      <c r="E488">
        <v>145</v>
      </c>
      <c r="F488">
        <v>913.5</v>
      </c>
    </row>
    <row r="489" spans="1:6" x14ac:dyDescent="0.25">
      <c r="A489">
        <v>488</v>
      </c>
      <c r="B489" s="1">
        <v>45740</v>
      </c>
      <c r="C489" s="2" t="s">
        <v>11</v>
      </c>
      <c r="D489">
        <v>47.44</v>
      </c>
      <c r="E489">
        <v>78</v>
      </c>
      <c r="F489">
        <v>3700.3199999999997</v>
      </c>
    </row>
    <row r="490" spans="1:6" x14ac:dyDescent="0.25">
      <c r="A490">
        <v>489</v>
      </c>
      <c r="B490" s="1">
        <v>45798</v>
      </c>
      <c r="C490" s="2" t="s">
        <v>20</v>
      </c>
      <c r="D490">
        <v>51.2</v>
      </c>
      <c r="E490">
        <v>90</v>
      </c>
      <c r="F490">
        <v>4608</v>
      </c>
    </row>
    <row r="491" spans="1:6" x14ac:dyDescent="0.25">
      <c r="A491">
        <v>490</v>
      </c>
      <c r="B491" s="1">
        <v>45709</v>
      </c>
      <c r="C491" s="2" t="s">
        <v>26</v>
      </c>
      <c r="D491">
        <v>11.85</v>
      </c>
      <c r="E491">
        <v>58</v>
      </c>
      <c r="F491">
        <v>687.3</v>
      </c>
    </row>
    <row r="492" spans="1:6" x14ac:dyDescent="0.25">
      <c r="A492">
        <v>491</v>
      </c>
      <c r="B492" s="1">
        <v>45783</v>
      </c>
      <c r="C492" s="2" t="s">
        <v>28</v>
      </c>
      <c r="D492">
        <v>13.12</v>
      </c>
      <c r="E492">
        <v>127</v>
      </c>
      <c r="F492">
        <v>1666.24</v>
      </c>
    </row>
    <row r="493" spans="1:6" x14ac:dyDescent="0.25">
      <c r="A493">
        <v>492</v>
      </c>
      <c r="B493" s="1">
        <v>45784</v>
      </c>
      <c r="C493" s="2" t="s">
        <v>29</v>
      </c>
      <c r="D493">
        <v>84.86</v>
      </c>
      <c r="E493">
        <v>80</v>
      </c>
      <c r="F493">
        <v>6788.8</v>
      </c>
    </row>
    <row r="494" spans="1:6" x14ac:dyDescent="0.25">
      <c r="A494">
        <v>493</v>
      </c>
      <c r="B494" s="1">
        <v>45709</v>
      </c>
      <c r="C494" s="2" t="s">
        <v>30</v>
      </c>
      <c r="D494">
        <v>32.25</v>
      </c>
      <c r="E494">
        <v>27</v>
      </c>
      <c r="F494">
        <v>870.75</v>
      </c>
    </row>
    <row r="495" spans="1:6" x14ac:dyDescent="0.25">
      <c r="A495">
        <v>494</v>
      </c>
      <c r="B495" s="1">
        <v>45686</v>
      </c>
      <c r="C495" s="2" t="s">
        <v>9</v>
      </c>
      <c r="D495">
        <v>50.3</v>
      </c>
      <c r="E495">
        <v>174</v>
      </c>
      <c r="F495">
        <v>8752.1999999999989</v>
      </c>
    </row>
    <row r="496" spans="1:6" x14ac:dyDescent="0.25">
      <c r="A496">
        <v>495</v>
      </c>
      <c r="B496" s="1">
        <v>45771</v>
      </c>
      <c r="C496" s="2" t="s">
        <v>23</v>
      </c>
      <c r="D496">
        <v>74.650000000000006</v>
      </c>
      <c r="E496">
        <v>63</v>
      </c>
      <c r="F496">
        <v>4702.9500000000007</v>
      </c>
    </row>
    <row r="497" spans="1:6" x14ac:dyDescent="0.25">
      <c r="A497">
        <v>496</v>
      </c>
      <c r="B497" s="1">
        <v>45698</v>
      </c>
      <c r="C497" s="2" t="s">
        <v>12</v>
      </c>
      <c r="D497">
        <v>57.73</v>
      </c>
      <c r="E497">
        <v>50</v>
      </c>
      <c r="F497">
        <v>2886.5</v>
      </c>
    </row>
    <row r="498" spans="1:6" x14ac:dyDescent="0.25">
      <c r="A498">
        <v>497</v>
      </c>
      <c r="B498" s="1">
        <v>45730</v>
      </c>
      <c r="C498" s="2" t="s">
        <v>7</v>
      </c>
      <c r="D498">
        <v>27.87</v>
      </c>
      <c r="E498">
        <v>140</v>
      </c>
      <c r="F498">
        <v>3901.8</v>
      </c>
    </row>
    <row r="499" spans="1:6" x14ac:dyDescent="0.25">
      <c r="A499">
        <v>498</v>
      </c>
      <c r="B499" s="1">
        <v>45711</v>
      </c>
      <c r="C499" s="2" t="s">
        <v>22</v>
      </c>
      <c r="D499">
        <v>102.97</v>
      </c>
      <c r="E499">
        <v>170</v>
      </c>
      <c r="F499">
        <v>17504.900000000001</v>
      </c>
    </row>
    <row r="500" spans="1:6" x14ac:dyDescent="0.25">
      <c r="A500">
        <v>499</v>
      </c>
      <c r="B500" s="1">
        <v>45825</v>
      </c>
      <c r="C500" s="2" t="s">
        <v>19</v>
      </c>
      <c r="D500">
        <v>79.290000000000006</v>
      </c>
      <c r="E500">
        <v>115</v>
      </c>
      <c r="F500">
        <v>9118.35</v>
      </c>
    </row>
    <row r="501" spans="1:6" x14ac:dyDescent="0.25">
      <c r="A501">
        <v>500</v>
      </c>
      <c r="B501" s="1">
        <v>45758</v>
      </c>
      <c r="C501" s="2" t="s">
        <v>8</v>
      </c>
      <c r="D501">
        <v>93.67</v>
      </c>
      <c r="E501">
        <v>187</v>
      </c>
      <c r="F501">
        <v>17516.29</v>
      </c>
    </row>
    <row r="502" spans="1:6" x14ac:dyDescent="0.25">
      <c r="A502">
        <v>501</v>
      </c>
      <c r="B502" s="1">
        <v>45819</v>
      </c>
      <c r="C502" s="2" t="s">
        <v>22</v>
      </c>
      <c r="D502">
        <v>39.49</v>
      </c>
      <c r="E502">
        <v>129</v>
      </c>
      <c r="F502">
        <v>5094.21</v>
      </c>
    </row>
    <row r="503" spans="1:6" x14ac:dyDescent="0.25">
      <c r="A503">
        <v>502</v>
      </c>
      <c r="B503" s="1">
        <v>45729</v>
      </c>
      <c r="C503" s="2" t="s">
        <v>15</v>
      </c>
      <c r="D503">
        <v>62.36</v>
      </c>
      <c r="E503">
        <v>149</v>
      </c>
      <c r="F503">
        <v>9291.64</v>
      </c>
    </row>
    <row r="504" spans="1:6" x14ac:dyDescent="0.25">
      <c r="A504">
        <v>503</v>
      </c>
      <c r="B504" s="1">
        <v>45663</v>
      </c>
      <c r="C504" s="2" t="s">
        <v>6</v>
      </c>
      <c r="D504">
        <v>47.58</v>
      </c>
      <c r="E504">
        <v>157</v>
      </c>
      <c r="F504">
        <v>7470.0599999999995</v>
      </c>
    </row>
    <row r="505" spans="1:6" x14ac:dyDescent="0.25">
      <c r="A505">
        <v>504</v>
      </c>
      <c r="B505" s="1">
        <v>45726</v>
      </c>
      <c r="C505" s="2" t="s">
        <v>14</v>
      </c>
      <c r="D505">
        <v>85.04</v>
      </c>
      <c r="E505">
        <v>144</v>
      </c>
      <c r="F505">
        <v>12245.76</v>
      </c>
    </row>
    <row r="506" spans="1:6" x14ac:dyDescent="0.25">
      <c r="A506">
        <v>505</v>
      </c>
      <c r="B506" s="1">
        <v>45746</v>
      </c>
      <c r="C506" s="2" t="s">
        <v>11</v>
      </c>
      <c r="D506">
        <v>44.9</v>
      </c>
      <c r="E506">
        <v>39</v>
      </c>
      <c r="F506">
        <v>1751.1</v>
      </c>
    </row>
    <row r="507" spans="1:6" x14ac:dyDescent="0.25">
      <c r="A507">
        <v>506</v>
      </c>
      <c r="B507" s="1">
        <v>45803</v>
      </c>
      <c r="C507" s="2" t="s">
        <v>28</v>
      </c>
      <c r="D507">
        <v>102.29</v>
      </c>
      <c r="E507">
        <v>86</v>
      </c>
      <c r="F507">
        <v>8796.94</v>
      </c>
    </row>
    <row r="508" spans="1:6" x14ac:dyDescent="0.25">
      <c r="A508">
        <v>507</v>
      </c>
      <c r="B508" s="1">
        <v>45807</v>
      </c>
      <c r="C508" s="2" t="s">
        <v>13</v>
      </c>
      <c r="D508">
        <v>89.52</v>
      </c>
      <c r="E508">
        <v>126</v>
      </c>
      <c r="F508">
        <v>11279.519999999999</v>
      </c>
    </row>
    <row r="509" spans="1:6" x14ac:dyDescent="0.25">
      <c r="A509">
        <v>508</v>
      </c>
      <c r="B509" s="1">
        <v>45738</v>
      </c>
      <c r="C509" s="2" t="s">
        <v>7</v>
      </c>
      <c r="D509">
        <v>21.98</v>
      </c>
      <c r="E509">
        <v>127</v>
      </c>
      <c r="F509">
        <v>2791.46</v>
      </c>
    </row>
    <row r="510" spans="1:6" x14ac:dyDescent="0.25">
      <c r="A510">
        <v>509</v>
      </c>
      <c r="B510" s="1">
        <v>45714</v>
      </c>
      <c r="C510" s="2" t="s">
        <v>28</v>
      </c>
      <c r="D510">
        <v>61.55</v>
      </c>
      <c r="E510">
        <v>61</v>
      </c>
      <c r="F510">
        <v>3754.5499999999997</v>
      </c>
    </row>
    <row r="511" spans="1:6" x14ac:dyDescent="0.25">
      <c r="A511">
        <v>510</v>
      </c>
      <c r="B511" s="1">
        <v>45689</v>
      </c>
      <c r="C511" s="2" t="s">
        <v>17</v>
      </c>
      <c r="D511">
        <v>50.39</v>
      </c>
      <c r="E511">
        <v>67</v>
      </c>
      <c r="F511">
        <v>3376.13</v>
      </c>
    </row>
    <row r="512" spans="1:6" x14ac:dyDescent="0.25">
      <c r="A512">
        <v>511</v>
      </c>
      <c r="B512" s="1">
        <v>45742</v>
      </c>
      <c r="C512" s="2" t="s">
        <v>30</v>
      </c>
      <c r="D512">
        <v>76.88</v>
      </c>
      <c r="E512">
        <v>38</v>
      </c>
      <c r="F512">
        <v>2921.4399999999996</v>
      </c>
    </row>
    <row r="513" spans="1:6" x14ac:dyDescent="0.25">
      <c r="A513">
        <v>512</v>
      </c>
      <c r="B513" s="1">
        <v>45750</v>
      </c>
      <c r="C513" s="2" t="s">
        <v>14</v>
      </c>
      <c r="D513">
        <v>9.8800000000000008</v>
      </c>
      <c r="E513">
        <v>30</v>
      </c>
      <c r="F513">
        <v>296.40000000000003</v>
      </c>
    </row>
    <row r="514" spans="1:6" x14ac:dyDescent="0.25">
      <c r="A514">
        <v>513</v>
      </c>
      <c r="B514" s="1">
        <v>45768</v>
      </c>
      <c r="C514" s="2" t="s">
        <v>13</v>
      </c>
      <c r="D514">
        <v>82.03</v>
      </c>
      <c r="E514">
        <v>49</v>
      </c>
      <c r="F514">
        <v>4019.4700000000003</v>
      </c>
    </row>
    <row r="515" spans="1:6" x14ac:dyDescent="0.25">
      <c r="A515">
        <v>514</v>
      </c>
      <c r="B515" s="1">
        <v>45789</v>
      </c>
      <c r="C515" s="2" t="s">
        <v>8</v>
      </c>
      <c r="D515">
        <v>90.77</v>
      </c>
      <c r="E515">
        <v>187</v>
      </c>
      <c r="F515">
        <v>16973.989999999998</v>
      </c>
    </row>
    <row r="516" spans="1:6" x14ac:dyDescent="0.25">
      <c r="A516">
        <v>515</v>
      </c>
      <c r="B516" s="1">
        <v>45760</v>
      </c>
      <c r="C516" s="2" t="s">
        <v>16</v>
      </c>
      <c r="D516">
        <v>33.58</v>
      </c>
      <c r="E516">
        <v>190</v>
      </c>
      <c r="F516">
        <v>6380.2</v>
      </c>
    </row>
    <row r="517" spans="1:6" x14ac:dyDescent="0.25">
      <c r="A517">
        <v>516</v>
      </c>
      <c r="B517" s="1">
        <v>45778</v>
      </c>
      <c r="C517" s="2" t="s">
        <v>19</v>
      </c>
      <c r="D517">
        <v>55.86</v>
      </c>
      <c r="E517">
        <v>53</v>
      </c>
      <c r="F517">
        <v>2960.58</v>
      </c>
    </row>
    <row r="518" spans="1:6" x14ac:dyDescent="0.25">
      <c r="A518">
        <v>517</v>
      </c>
      <c r="B518" s="1">
        <v>45724</v>
      </c>
      <c r="C518" s="2" t="s">
        <v>21</v>
      </c>
      <c r="D518">
        <v>33.770000000000003</v>
      </c>
      <c r="E518">
        <v>59</v>
      </c>
      <c r="F518">
        <v>1992.4300000000003</v>
      </c>
    </row>
    <row r="519" spans="1:6" x14ac:dyDescent="0.25">
      <c r="A519">
        <v>518</v>
      </c>
      <c r="B519" s="1">
        <v>45659</v>
      </c>
      <c r="C519" s="2" t="s">
        <v>6</v>
      </c>
      <c r="D519">
        <v>147.88</v>
      </c>
      <c r="E519">
        <v>55</v>
      </c>
      <c r="F519">
        <v>8133.4</v>
      </c>
    </row>
    <row r="520" spans="1:6" x14ac:dyDescent="0.25">
      <c r="A520">
        <v>519</v>
      </c>
      <c r="B520" s="1">
        <v>45798</v>
      </c>
      <c r="C520" s="2" t="s">
        <v>15</v>
      </c>
      <c r="D520">
        <v>19.510000000000002</v>
      </c>
      <c r="E520">
        <v>43</v>
      </c>
      <c r="F520">
        <v>838.93000000000006</v>
      </c>
    </row>
    <row r="521" spans="1:6" x14ac:dyDescent="0.25">
      <c r="A521">
        <v>520</v>
      </c>
      <c r="B521" s="1">
        <v>45827</v>
      </c>
      <c r="C521" s="2" t="s">
        <v>29</v>
      </c>
      <c r="D521">
        <v>11.25</v>
      </c>
      <c r="E521">
        <v>103</v>
      </c>
      <c r="F521">
        <v>1158.75</v>
      </c>
    </row>
    <row r="522" spans="1:6" x14ac:dyDescent="0.25">
      <c r="A522">
        <v>521</v>
      </c>
      <c r="B522" s="1">
        <v>45681</v>
      </c>
      <c r="C522" s="2" t="s">
        <v>25</v>
      </c>
      <c r="D522">
        <v>26.22</v>
      </c>
      <c r="E522">
        <v>53</v>
      </c>
      <c r="F522">
        <v>1389.6599999999999</v>
      </c>
    </row>
    <row r="523" spans="1:6" x14ac:dyDescent="0.25">
      <c r="A523">
        <v>522</v>
      </c>
      <c r="B523" s="1">
        <v>45822</v>
      </c>
      <c r="C523" s="2" t="s">
        <v>20</v>
      </c>
      <c r="D523">
        <v>47.1</v>
      </c>
      <c r="E523">
        <v>185</v>
      </c>
      <c r="F523">
        <v>8713.5</v>
      </c>
    </row>
    <row r="524" spans="1:6" x14ac:dyDescent="0.25">
      <c r="A524">
        <v>523</v>
      </c>
      <c r="B524" s="1">
        <v>45724</v>
      </c>
      <c r="C524" s="2" t="s">
        <v>16</v>
      </c>
      <c r="D524">
        <v>28.37</v>
      </c>
      <c r="E524">
        <v>52</v>
      </c>
      <c r="F524">
        <v>1475.24</v>
      </c>
    </row>
    <row r="525" spans="1:6" x14ac:dyDescent="0.25">
      <c r="A525">
        <v>524</v>
      </c>
      <c r="B525" s="1">
        <v>45704</v>
      </c>
      <c r="C525" s="2" t="s">
        <v>19</v>
      </c>
      <c r="D525">
        <v>19.649999999999999</v>
      </c>
      <c r="E525">
        <v>83</v>
      </c>
      <c r="F525">
        <v>1630.9499999999998</v>
      </c>
    </row>
    <row r="526" spans="1:6" x14ac:dyDescent="0.25">
      <c r="A526">
        <v>525</v>
      </c>
      <c r="B526" s="1">
        <v>45677</v>
      </c>
      <c r="C526" s="2" t="s">
        <v>23</v>
      </c>
      <c r="D526">
        <v>115.76</v>
      </c>
      <c r="E526">
        <v>173</v>
      </c>
      <c r="F526">
        <v>20026.48</v>
      </c>
    </row>
    <row r="527" spans="1:6" x14ac:dyDescent="0.25">
      <c r="A527">
        <v>526</v>
      </c>
      <c r="B527" s="1">
        <v>45696</v>
      </c>
      <c r="C527" s="2" t="s">
        <v>7</v>
      </c>
      <c r="D527">
        <v>30.24</v>
      </c>
      <c r="E527">
        <v>92</v>
      </c>
      <c r="F527">
        <v>2782.08</v>
      </c>
    </row>
    <row r="528" spans="1:6" x14ac:dyDescent="0.25">
      <c r="A528">
        <v>527</v>
      </c>
      <c r="B528" s="1">
        <v>45836</v>
      </c>
      <c r="C528" s="2" t="s">
        <v>22</v>
      </c>
      <c r="D528">
        <v>114.96</v>
      </c>
      <c r="E528">
        <v>96</v>
      </c>
      <c r="F528">
        <v>11036.16</v>
      </c>
    </row>
    <row r="529" spans="1:6" x14ac:dyDescent="0.25">
      <c r="A529">
        <v>528</v>
      </c>
      <c r="B529" s="1">
        <v>45670</v>
      </c>
      <c r="C529" s="2" t="s">
        <v>15</v>
      </c>
      <c r="D529">
        <v>55.25</v>
      </c>
      <c r="E529">
        <v>96</v>
      </c>
      <c r="F529">
        <v>5304</v>
      </c>
    </row>
    <row r="530" spans="1:6" x14ac:dyDescent="0.25">
      <c r="A530">
        <v>529</v>
      </c>
      <c r="B530" s="1">
        <v>45710</v>
      </c>
      <c r="C530" s="2" t="s">
        <v>22</v>
      </c>
      <c r="D530">
        <v>88.91</v>
      </c>
      <c r="E530">
        <v>158</v>
      </c>
      <c r="F530">
        <v>14047.779999999999</v>
      </c>
    </row>
    <row r="531" spans="1:6" x14ac:dyDescent="0.25">
      <c r="A531">
        <v>530</v>
      </c>
      <c r="B531" s="1">
        <v>45702</v>
      </c>
      <c r="C531" s="2" t="s">
        <v>28</v>
      </c>
      <c r="D531">
        <v>102.48</v>
      </c>
      <c r="E531">
        <v>45</v>
      </c>
      <c r="F531">
        <v>4611.6000000000004</v>
      </c>
    </row>
    <row r="532" spans="1:6" x14ac:dyDescent="0.25">
      <c r="A532">
        <v>531</v>
      </c>
      <c r="B532" s="1">
        <v>45692</v>
      </c>
      <c r="C532" s="2" t="s">
        <v>19</v>
      </c>
      <c r="D532">
        <v>86.26</v>
      </c>
      <c r="E532">
        <v>110</v>
      </c>
      <c r="F532">
        <v>9488.6</v>
      </c>
    </row>
    <row r="533" spans="1:6" x14ac:dyDescent="0.25">
      <c r="A533">
        <v>532</v>
      </c>
      <c r="B533" s="1">
        <v>45721</v>
      </c>
      <c r="C533" s="2" t="s">
        <v>18</v>
      </c>
      <c r="D533">
        <v>38.78</v>
      </c>
      <c r="E533">
        <v>140</v>
      </c>
      <c r="F533">
        <v>5429.2</v>
      </c>
    </row>
    <row r="534" spans="1:6" x14ac:dyDescent="0.25">
      <c r="A534">
        <v>533</v>
      </c>
      <c r="B534" s="1">
        <v>45819</v>
      </c>
      <c r="C534" s="2" t="s">
        <v>7</v>
      </c>
      <c r="D534">
        <v>15</v>
      </c>
      <c r="E534">
        <v>30</v>
      </c>
      <c r="F534">
        <v>450</v>
      </c>
    </row>
    <row r="535" spans="1:6" x14ac:dyDescent="0.25">
      <c r="A535">
        <v>534</v>
      </c>
      <c r="B535" s="1">
        <v>45694</v>
      </c>
      <c r="C535" s="2" t="s">
        <v>26</v>
      </c>
      <c r="D535">
        <v>57.09</v>
      </c>
      <c r="E535">
        <v>109</v>
      </c>
      <c r="F535">
        <v>6222.81</v>
      </c>
    </row>
    <row r="536" spans="1:6" x14ac:dyDescent="0.25">
      <c r="A536">
        <v>535</v>
      </c>
      <c r="B536" s="1">
        <v>45806</v>
      </c>
      <c r="C536" s="2" t="s">
        <v>16</v>
      </c>
      <c r="D536">
        <v>118.84</v>
      </c>
      <c r="E536">
        <v>197</v>
      </c>
      <c r="F536">
        <v>23411.48</v>
      </c>
    </row>
    <row r="537" spans="1:6" x14ac:dyDescent="0.25">
      <c r="A537">
        <v>536</v>
      </c>
      <c r="B537" s="1">
        <v>45731</v>
      </c>
      <c r="C537" s="2" t="s">
        <v>18</v>
      </c>
      <c r="D537">
        <v>40.200000000000003</v>
      </c>
      <c r="E537">
        <v>65</v>
      </c>
      <c r="F537">
        <v>2613</v>
      </c>
    </row>
    <row r="538" spans="1:6" x14ac:dyDescent="0.25">
      <c r="A538">
        <v>537</v>
      </c>
      <c r="B538" s="1">
        <v>45810</v>
      </c>
      <c r="C538" s="2" t="s">
        <v>7</v>
      </c>
      <c r="D538">
        <v>61.75</v>
      </c>
      <c r="E538">
        <v>92</v>
      </c>
      <c r="F538">
        <v>5681</v>
      </c>
    </row>
    <row r="539" spans="1:6" x14ac:dyDescent="0.25">
      <c r="A539">
        <v>538</v>
      </c>
      <c r="B539" s="1">
        <v>45699</v>
      </c>
      <c r="C539" s="2" t="s">
        <v>21</v>
      </c>
      <c r="D539">
        <v>94.76</v>
      </c>
      <c r="E539">
        <v>73</v>
      </c>
      <c r="F539">
        <v>6917.4800000000005</v>
      </c>
    </row>
    <row r="540" spans="1:6" x14ac:dyDescent="0.25">
      <c r="A540">
        <v>539</v>
      </c>
      <c r="B540" s="1">
        <v>45715</v>
      </c>
      <c r="C540" s="2" t="s">
        <v>13</v>
      </c>
      <c r="D540">
        <v>78.28</v>
      </c>
      <c r="E540">
        <v>209</v>
      </c>
      <c r="F540">
        <v>16360.52</v>
      </c>
    </row>
    <row r="541" spans="1:6" x14ac:dyDescent="0.25">
      <c r="A541">
        <v>540</v>
      </c>
      <c r="B541" s="1">
        <v>45823</v>
      </c>
      <c r="C541" s="2" t="s">
        <v>27</v>
      </c>
      <c r="D541">
        <v>117.99</v>
      </c>
      <c r="E541">
        <v>41</v>
      </c>
      <c r="F541">
        <v>4837.59</v>
      </c>
    </row>
    <row r="542" spans="1:6" x14ac:dyDescent="0.25">
      <c r="A542">
        <v>541</v>
      </c>
      <c r="B542" s="1">
        <v>45780</v>
      </c>
      <c r="C542" s="2" t="s">
        <v>12</v>
      </c>
      <c r="D542">
        <v>77.400000000000006</v>
      </c>
      <c r="E542">
        <v>183</v>
      </c>
      <c r="F542">
        <v>14164.2</v>
      </c>
    </row>
    <row r="543" spans="1:6" x14ac:dyDescent="0.25">
      <c r="A543">
        <v>542</v>
      </c>
      <c r="B543" s="1">
        <v>45667</v>
      </c>
      <c r="C543" s="2" t="s">
        <v>22</v>
      </c>
      <c r="D543">
        <v>95.48</v>
      </c>
      <c r="E543">
        <v>138</v>
      </c>
      <c r="F543">
        <v>13176.24</v>
      </c>
    </row>
    <row r="544" spans="1:6" x14ac:dyDescent="0.25">
      <c r="A544">
        <v>543</v>
      </c>
      <c r="B544" s="1">
        <v>45791</v>
      </c>
      <c r="C544" s="2" t="s">
        <v>27</v>
      </c>
      <c r="D544">
        <v>51.17</v>
      </c>
      <c r="E544">
        <v>260</v>
      </c>
      <c r="F544">
        <v>13304.2</v>
      </c>
    </row>
    <row r="545" spans="1:6" x14ac:dyDescent="0.25">
      <c r="A545">
        <v>544</v>
      </c>
      <c r="B545" s="1">
        <v>45827</v>
      </c>
      <c r="C545" s="2" t="s">
        <v>27</v>
      </c>
      <c r="D545">
        <v>9.9</v>
      </c>
      <c r="E545">
        <v>75</v>
      </c>
      <c r="F545">
        <v>742.5</v>
      </c>
    </row>
    <row r="546" spans="1:6" x14ac:dyDescent="0.25">
      <c r="A546">
        <v>545</v>
      </c>
      <c r="B546" s="1">
        <v>45672</v>
      </c>
      <c r="C546" s="2" t="s">
        <v>10</v>
      </c>
      <c r="D546">
        <v>122.35</v>
      </c>
      <c r="E546">
        <v>18</v>
      </c>
      <c r="F546">
        <v>2202.2999999999997</v>
      </c>
    </row>
    <row r="547" spans="1:6" x14ac:dyDescent="0.25">
      <c r="A547">
        <v>546</v>
      </c>
      <c r="B547" s="1">
        <v>45780</v>
      </c>
      <c r="C547" s="2" t="s">
        <v>25</v>
      </c>
      <c r="D547">
        <v>121.32</v>
      </c>
      <c r="E547">
        <v>144</v>
      </c>
      <c r="F547">
        <v>17470.079999999998</v>
      </c>
    </row>
    <row r="548" spans="1:6" x14ac:dyDescent="0.25">
      <c r="A548">
        <v>547</v>
      </c>
      <c r="B548" s="1">
        <v>45763</v>
      </c>
      <c r="C548" s="2" t="s">
        <v>11</v>
      </c>
      <c r="D548">
        <v>114.92</v>
      </c>
      <c r="E548">
        <v>76</v>
      </c>
      <c r="F548">
        <v>8733.92</v>
      </c>
    </row>
    <row r="549" spans="1:6" x14ac:dyDescent="0.25">
      <c r="A549">
        <v>548</v>
      </c>
      <c r="B549" s="1">
        <v>45832</v>
      </c>
      <c r="C549" s="2" t="s">
        <v>21</v>
      </c>
      <c r="D549">
        <v>50.65</v>
      </c>
      <c r="E549">
        <v>156</v>
      </c>
      <c r="F549">
        <v>7901.4</v>
      </c>
    </row>
    <row r="550" spans="1:6" x14ac:dyDescent="0.25">
      <c r="A550">
        <v>549</v>
      </c>
      <c r="B550" s="1">
        <v>45680</v>
      </c>
      <c r="C550" s="2" t="s">
        <v>14</v>
      </c>
      <c r="D550">
        <v>79.48</v>
      </c>
      <c r="E550">
        <v>192</v>
      </c>
      <c r="F550">
        <v>15260.16</v>
      </c>
    </row>
    <row r="551" spans="1:6" x14ac:dyDescent="0.25">
      <c r="A551">
        <v>550</v>
      </c>
      <c r="B551" s="1">
        <v>45720</v>
      </c>
      <c r="C551" s="2" t="s">
        <v>6</v>
      </c>
      <c r="D551">
        <v>94.75</v>
      </c>
      <c r="E551">
        <v>136</v>
      </c>
      <c r="F551">
        <v>12886</v>
      </c>
    </row>
    <row r="552" spans="1:6" x14ac:dyDescent="0.25">
      <c r="A552">
        <v>551</v>
      </c>
      <c r="B552" s="1">
        <v>45819</v>
      </c>
      <c r="C552" s="2" t="s">
        <v>7</v>
      </c>
      <c r="D552">
        <v>30.35</v>
      </c>
      <c r="E552">
        <v>40</v>
      </c>
      <c r="F552">
        <v>1214</v>
      </c>
    </row>
    <row r="553" spans="1:6" x14ac:dyDescent="0.25">
      <c r="A553">
        <v>552</v>
      </c>
      <c r="B553" s="1">
        <v>45761</v>
      </c>
      <c r="C553" s="2" t="s">
        <v>9</v>
      </c>
      <c r="D553">
        <v>98.69</v>
      </c>
      <c r="E553">
        <v>182</v>
      </c>
      <c r="F553">
        <v>17961.579999999998</v>
      </c>
    </row>
    <row r="554" spans="1:6" x14ac:dyDescent="0.25">
      <c r="A554">
        <v>553</v>
      </c>
      <c r="B554" s="1">
        <v>45670</v>
      </c>
      <c r="C554" s="2" t="s">
        <v>13</v>
      </c>
      <c r="D554">
        <v>39.86</v>
      </c>
      <c r="E554">
        <v>96</v>
      </c>
      <c r="F554">
        <v>3826.56</v>
      </c>
    </row>
    <row r="555" spans="1:6" x14ac:dyDescent="0.25">
      <c r="A555">
        <v>554</v>
      </c>
      <c r="B555" s="1">
        <v>45704</v>
      </c>
      <c r="C555" s="2" t="s">
        <v>19</v>
      </c>
      <c r="D555">
        <v>68.849999999999994</v>
      </c>
      <c r="E555">
        <v>182</v>
      </c>
      <c r="F555">
        <v>12530.699999999999</v>
      </c>
    </row>
    <row r="556" spans="1:6" x14ac:dyDescent="0.25">
      <c r="A556">
        <v>555</v>
      </c>
      <c r="B556" s="1">
        <v>45701</v>
      </c>
      <c r="C556" s="2" t="s">
        <v>30</v>
      </c>
      <c r="D556">
        <v>64.53</v>
      </c>
      <c r="E556">
        <v>147</v>
      </c>
      <c r="F556">
        <v>9485.91</v>
      </c>
    </row>
    <row r="557" spans="1:6" x14ac:dyDescent="0.25">
      <c r="A557">
        <v>556</v>
      </c>
      <c r="B557" s="1">
        <v>45704</v>
      </c>
      <c r="C557" s="2" t="s">
        <v>13</v>
      </c>
      <c r="D557">
        <v>82.11</v>
      </c>
      <c r="E557">
        <v>92</v>
      </c>
      <c r="F557">
        <v>7554.12</v>
      </c>
    </row>
    <row r="558" spans="1:6" x14ac:dyDescent="0.25">
      <c r="A558">
        <v>557</v>
      </c>
      <c r="B558" s="1">
        <v>45755</v>
      </c>
      <c r="C558" s="2" t="s">
        <v>28</v>
      </c>
      <c r="D558">
        <v>90.32</v>
      </c>
      <c r="E558">
        <v>47</v>
      </c>
      <c r="F558">
        <v>4245.04</v>
      </c>
    </row>
    <row r="559" spans="1:6" x14ac:dyDescent="0.25">
      <c r="A559">
        <v>558</v>
      </c>
      <c r="B559" s="1">
        <v>45709</v>
      </c>
      <c r="C559" s="2" t="s">
        <v>22</v>
      </c>
      <c r="D559">
        <v>77.38</v>
      </c>
      <c r="E559">
        <v>93</v>
      </c>
      <c r="F559">
        <v>7196.3399999999992</v>
      </c>
    </row>
    <row r="560" spans="1:6" x14ac:dyDescent="0.25">
      <c r="A560">
        <v>559</v>
      </c>
      <c r="B560" s="1">
        <v>45742</v>
      </c>
      <c r="C560" s="2" t="s">
        <v>10</v>
      </c>
      <c r="D560">
        <v>9.6300000000000008</v>
      </c>
      <c r="E560">
        <v>72</v>
      </c>
      <c r="F560">
        <v>693.36</v>
      </c>
    </row>
    <row r="561" spans="1:6" x14ac:dyDescent="0.25">
      <c r="A561">
        <v>560</v>
      </c>
      <c r="B561" s="1">
        <v>45776</v>
      </c>
      <c r="C561" s="2" t="s">
        <v>14</v>
      </c>
      <c r="D561">
        <v>24.43</v>
      </c>
      <c r="E561">
        <v>92</v>
      </c>
      <c r="F561">
        <v>2247.56</v>
      </c>
    </row>
    <row r="562" spans="1:6" x14ac:dyDescent="0.25">
      <c r="A562">
        <v>561</v>
      </c>
      <c r="B562" s="1">
        <v>45707</v>
      </c>
      <c r="C562" s="2" t="s">
        <v>12</v>
      </c>
      <c r="D562">
        <v>25.17</v>
      </c>
      <c r="E562">
        <v>112</v>
      </c>
      <c r="F562">
        <v>2819.04</v>
      </c>
    </row>
    <row r="563" spans="1:6" x14ac:dyDescent="0.25">
      <c r="A563">
        <v>562</v>
      </c>
      <c r="B563" s="1">
        <v>45760</v>
      </c>
      <c r="C563" s="2" t="s">
        <v>10</v>
      </c>
      <c r="D563">
        <v>11.41</v>
      </c>
      <c r="E563">
        <v>29</v>
      </c>
      <c r="F563">
        <v>330.89</v>
      </c>
    </row>
    <row r="564" spans="1:6" x14ac:dyDescent="0.25">
      <c r="A564">
        <v>563</v>
      </c>
      <c r="B564" s="1">
        <v>45732</v>
      </c>
      <c r="C564" s="2" t="s">
        <v>24</v>
      </c>
      <c r="D564">
        <v>71.92</v>
      </c>
      <c r="E564">
        <v>110</v>
      </c>
      <c r="F564">
        <v>7911.2</v>
      </c>
    </row>
    <row r="565" spans="1:6" x14ac:dyDescent="0.25">
      <c r="A565">
        <v>564</v>
      </c>
      <c r="B565" s="1">
        <v>45802</v>
      </c>
      <c r="C565" s="2" t="s">
        <v>6</v>
      </c>
      <c r="D565">
        <v>35.33</v>
      </c>
      <c r="E565">
        <v>158</v>
      </c>
      <c r="F565">
        <v>5582.1399999999994</v>
      </c>
    </row>
    <row r="566" spans="1:6" x14ac:dyDescent="0.25">
      <c r="A566">
        <v>565</v>
      </c>
      <c r="B566" s="1">
        <v>45697</v>
      </c>
      <c r="C566" s="2" t="s">
        <v>25</v>
      </c>
      <c r="D566">
        <v>82.27</v>
      </c>
      <c r="E566">
        <v>105</v>
      </c>
      <c r="F566">
        <v>8638.35</v>
      </c>
    </row>
    <row r="567" spans="1:6" x14ac:dyDescent="0.25">
      <c r="A567">
        <v>566</v>
      </c>
      <c r="B567" s="1">
        <v>45677</v>
      </c>
      <c r="C567" s="2" t="s">
        <v>29</v>
      </c>
      <c r="D567">
        <v>6.92</v>
      </c>
      <c r="E567">
        <v>196</v>
      </c>
      <c r="F567">
        <v>1356.32</v>
      </c>
    </row>
    <row r="568" spans="1:6" x14ac:dyDescent="0.25">
      <c r="A568">
        <v>567</v>
      </c>
      <c r="B568" s="1">
        <v>45715</v>
      </c>
      <c r="C568" s="2" t="s">
        <v>22</v>
      </c>
      <c r="D568">
        <v>48.33</v>
      </c>
      <c r="E568">
        <v>145</v>
      </c>
      <c r="F568">
        <v>7007.8499999999995</v>
      </c>
    </row>
    <row r="569" spans="1:6" x14ac:dyDescent="0.25">
      <c r="A569">
        <v>568</v>
      </c>
      <c r="B569" s="1">
        <v>45769</v>
      </c>
      <c r="C569" s="2" t="s">
        <v>15</v>
      </c>
      <c r="D569">
        <v>107.97</v>
      </c>
      <c r="E569">
        <v>123</v>
      </c>
      <c r="F569">
        <v>13280.31</v>
      </c>
    </row>
    <row r="570" spans="1:6" x14ac:dyDescent="0.25">
      <c r="A570">
        <v>569</v>
      </c>
      <c r="B570" s="1">
        <v>45821</v>
      </c>
      <c r="C570" s="2" t="s">
        <v>26</v>
      </c>
      <c r="D570">
        <v>36.090000000000003</v>
      </c>
      <c r="E570">
        <v>112</v>
      </c>
      <c r="F570">
        <v>4042.0800000000004</v>
      </c>
    </row>
    <row r="571" spans="1:6" x14ac:dyDescent="0.25">
      <c r="A571">
        <v>570</v>
      </c>
      <c r="B571" s="1">
        <v>45770</v>
      </c>
      <c r="C571" s="2" t="s">
        <v>29</v>
      </c>
      <c r="D571">
        <v>84.42</v>
      </c>
      <c r="E571">
        <v>120</v>
      </c>
      <c r="F571">
        <v>10130.4</v>
      </c>
    </row>
    <row r="572" spans="1:6" x14ac:dyDescent="0.25">
      <c r="A572">
        <v>571</v>
      </c>
      <c r="B572" s="1">
        <v>45676</v>
      </c>
      <c r="C572" s="2" t="s">
        <v>9</v>
      </c>
      <c r="D572">
        <v>107.86</v>
      </c>
      <c r="E572">
        <v>17</v>
      </c>
      <c r="F572">
        <v>1833.62</v>
      </c>
    </row>
    <row r="573" spans="1:6" x14ac:dyDescent="0.25">
      <c r="A573">
        <v>572</v>
      </c>
      <c r="B573" s="1">
        <v>45675</v>
      </c>
      <c r="C573" s="2" t="s">
        <v>8</v>
      </c>
      <c r="D573">
        <v>40.98</v>
      </c>
      <c r="E573">
        <v>109</v>
      </c>
      <c r="F573">
        <v>4466.82</v>
      </c>
    </row>
    <row r="574" spans="1:6" x14ac:dyDescent="0.25">
      <c r="A574">
        <v>573</v>
      </c>
      <c r="B574" s="1">
        <v>45807</v>
      </c>
      <c r="C574" s="2" t="s">
        <v>7</v>
      </c>
      <c r="D574">
        <v>17.579999999999998</v>
      </c>
      <c r="E574">
        <v>178</v>
      </c>
      <c r="F574">
        <v>3129.24</v>
      </c>
    </row>
    <row r="575" spans="1:6" x14ac:dyDescent="0.25">
      <c r="A575">
        <v>574</v>
      </c>
      <c r="B575" s="1">
        <v>45819</v>
      </c>
      <c r="C575" s="2" t="s">
        <v>22</v>
      </c>
      <c r="D575">
        <v>44.75</v>
      </c>
      <c r="E575">
        <v>163</v>
      </c>
      <c r="F575">
        <v>7294.25</v>
      </c>
    </row>
    <row r="576" spans="1:6" x14ac:dyDescent="0.25">
      <c r="A576">
        <v>575</v>
      </c>
      <c r="B576" s="1">
        <v>45734</v>
      </c>
      <c r="C576" s="2" t="s">
        <v>11</v>
      </c>
      <c r="D576">
        <v>56.82</v>
      </c>
      <c r="E576">
        <v>79</v>
      </c>
      <c r="F576">
        <v>4488.78</v>
      </c>
    </row>
    <row r="577" spans="1:6" x14ac:dyDescent="0.25">
      <c r="A577">
        <v>576</v>
      </c>
      <c r="B577" s="1">
        <v>45678</v>
      </c>
      <c r="C577" s="2" t="s">
        <v>11</v>
      </c>
      <c r="D577">
        <v>79.8</v>
      </c>
      <c r="E577">
        <v>114</v>
      </c>
      <c r="F577">
        <v>9097.1999999999989</v>
      </c>
    </row>
    <row r="578" spans="1:6" x14ac:dyDescent="0.25">
      <c r="A578">
        <v>577</v>
      </c>
      <c r="B578" s="1">
        <v>45775</v>
      </c>
      <c r="C578" s="2" t="s">
        <v>15</v>
      </c>
      <c r="D578">
        <v>111.05</v>
      </c>
      <c r="E578">
        <v>88</v>
      </c>
      <c r="F578">
        <v>9772.4</v>
      </c>
    </row>
    <row r="579" spans="1:6" x14ac:dyDescent="0.25">
      <c r="A579">
        <v>578</v>
      </c>
      <c r="B579" s="1">
        <v>45773</v>
      </c>
      <c r="C579" s="2" t="s">
        <v>24</v>
      </c>
      <c r="D579">
        <v>53.58</v>
      </c>
      <c r="E579">
        <v>43</v>
      </c>
      <c r="F579">
        <v>2303.94</v>
      </c>
    </row>
    <row r="580" spans="1:6" x14ac:dyDescent="0.25">
      <c r="A580">
        <v>579</v>
      </c>
      <c r="B580" s="1">
        <v>45765</v>
      </c>
      <c r="C580" s="2" t="s">
        <v>6</v>
      </c>
      <c r="D580">
        <v>99.73</v>
      </c>
      <c r="E580">
        <v>21</v>
      </c>
      <c r="F580">
        <v>2094.33</v>
      </c>
    </row>
    <row r="581" spans="1:6" x14ac:dyDescent="0.25">
      <c r="A581">
        <v>580</v>
      </c>
      <c r="B581" s="1">
        <v>45761</v>
      </c>
      <c r="C581" s="2" t="s">
        <v>16</v>
      </c>
      <c r="D581">
        <v>41.06</v>
      </c>
      <c r="E581">
        <v>38</v>
      </c>
      <c r="F581">
        <v>1560.2800000000002</v>
      </c>
    </row>
    <row r="582" spans="1:6" x14ac:dyDescent="0.25">
      <c r="A582">
        <v>581</v>
      </c>
      <c r="B582" s="1">
        <v>45808</v>
      </c>
      <c r="C582" s="2" t="s">
        <v>23</v>
      </c>
      <c r="D582">
        <v>37.75</v>
      </c>
      <c r="E582">
        <v>130</v>
      </c>
      <c r="F582">
        <v>4907.5</v>
      </c>
    </row>
    <row r="583" spans="1:6" x14ac:dyDescent="0.25">
      <c r="A583">
        <v>582</v>
      </c>
      <c r="B583" s="1">
        <v>45709</v>
      </c>
      <c r="C583" s="2" t="s">
        <v>11</v>
      </c>
      <c r="D583">
        <v>87.19</v>
      </c>
      <c r="E583">
        <v>99</v>
      </c>
      <c r="F583">
        <v>8631.81</v>
      </c>
    </row>
    <row r="584" spans="1:6" x14ac:dyDescent="0.25">
      <c r="A584">
        <v>583</v>
      </c>
      <c r="B584" s="1">
        <v>45662</v>
      </c>
      <c r="C584" s="2" t="s">
        <v>25</v>
      </c>
      <c r="D584">
        <v>94.93</v>
      </c>
      <c r="E584">
        <v>38</v>
      </c>
      <c r="F584">
        <v>3607.34</v>
      </c>
    </row>
    <row r="585" spans="1:6" x14ac:dyDescent="0.25">
      <c r="A585">
        <v>584</v>
      </c>
      <c r="B585" s="1">
        <v>45731</v>
      </c>
      <c r="C585" s="2" t="s">
        <v>15</v>
      </c>
      <c r="D585">
        <v>16.649999999999999</v>
      </c>
      <c r="E585">
        <v>144</v>
      </c>
      <c r="F585">
        <v>2397.6</v>
      </c>
    </row>
    <row r="586" spans="1:6" x14ac:dyDescent="0.25">
      <c r="A586">
        <v>585</v>
      </c>
      <c r="B586" s="1">
        <v>45764</v>
      </c>
      <c r="C586" s="2" t="s">
        <v>22</v>
      </c>
      <c r="D586">
        <v>61.42</v>
      </c>
      <c r="E586">
        <v>156</v>
      </c>
      <c r="F586">
        <v>9581.52</v>
      </c>
    </row>
    <row r="587" spans="1:6" x14ac:dyDescent="0.25">
      <c r="A587">
        <v>586</v>
      </c>
      <c r="B587" s="1">
        <v>45837</v>
      </c>
      <c r="C587" s="2" t="s">
        <v>16</v>
      </c>
      <c r="D587">
        <v>76.680000000000007</v>
      </c>
      <c r="E587">
        <v>63</v>
      </c>
      <c r="F587">
        <v>4830.84</v>
      </c>
    </row>
    <row r="588" spans="1:6" x14ac:dyDescent="0.25">
      <c r="A588">
        <v>587</v>
      </c>
      <c r="B588" s="1">
        <v>45738</v>
      </c>
      <c r="C588" s="2" t="s">
        <v>20</v>
      </c>
      <c r="D588">
        <v>18.36</v>
      </c>
      <c r="E588">
        <v>33</v>
      </c>
      <c r="F588">
        <v>605.88</v>
      </c>
    </row>
    <row r="589" spans="1:6" x14ac:dyDescent="0.25">
      <c r="A589">
        <v>588</v>
      </c>
      <c r="B589" s="1">
        <v>45735</v>
      </c>
      <c r="C589" s="2" t="s">
        <v>18</v>
      </c>
      <c r="D589">
        <v>127.88</v>
      </c>
      <c r="E589">
        <v>73</v>
      </c>
      <c r="F589">
        <v>9335.24</v>
      </c>
    </row>
    <row r="590" spans="1:6" x14ac:dyDescent="0.25">
      <c r="A590">
        <v>589</v>
      </c>
      <c r="B590" s="1">
        <v>45697</v>
      </c>
      <c r="C590" s="2" t="s">
        <v>18</v>
      </c>
      <c r="D590">
        <v>48.64</v>
      </c>
      <c r="E590">
        <v>107</v>
      </c>
      <c r="F590">
        <v>5204.4800000000005</v>
      </c>
    </row>
    <row r="591" spans="1:6" x14ac:dyDescent="0.25">
      <c r="A591">
        <v>590</v>
      </c>
      <c r="B591" s="1">
        <v>45697</v>
      </c>
      <c r="C591" s="2" t="s">
        <v>30</v>
      </c>
      <c r="D591">
        <v>78.97</v>
      </c>
      <c r="E591">
        <v>192</v>
      </c>
      <c r="F591">
        <v>15162.24</v>
      </c>
    </row>
    <row r="592" spans="1:6" x14ac:dyDescent="0.25">
      <c r="A592">
        <v>591</v>
      </c>
      <c r="B592" s="1">
        <v>45755</v>
      </c>
      <c r="C592" s="2" t="s">
        <v>24</v>
      </c>
      <c r="D592">
        <v>119.36</v>
      </c>
      <c r="E592">
        <v>139</v>
      </c>
      <c r="F592">
        <v>16591.04</v>
      </c>
    </row>
    <row r="593" spans="1:6" x14ac:dyDescent="0.25">
      <c r="A593">
        <v>592</v>
      </c>
      <c r="B593" s="1">
        <v>45793</v>
      </c>
      <c r="C593" s="2" t="s">
        <v>8</v>
      </c>
      <c r="D593">
        <v>124.06</v>
      </c>
      <c r="E593">
        <v>37</v>
      </c>
      <c r="F593">
        <v>4590.22</v>
      </c>
    </row>
    <row r="594" spans="1:6" x14ac:dyDescent="0.25">
      <c r="A594">
        <v>593</v>
      </c>
      <c r="B594" s="1">
        <v>45743</v>
      </c>
      <c r="C594" s="2" t="s">
        <v>10</v>
      </c>
      <c r="D594">
        <v>93.95</v>
      </c>
      <c r="E594">
        <v>146</v>
      </c>
      <c r="F594">
        <v>13716.7</v>
      </c>
    </row>
    <row r="595" spans="1:6" x14ac:dyDescent="0.25">
      <c r="A595">
        <v>594</v>
      </c>
      <c r="B595" s="1">
        <v>45762</v>
      </c>
      <c r="C595" s="2" t="s">
        <v>8</v>
      </c>
      <c r="D595">
        <v>80.2</v>
      </c>
      <c r="E595">
        <v>189</v>
      </c>
      <c r="F595">
        <v>15157.800000000001</v>
      </c>
    </row>
    <row r="596" spans="1:6" x14ac:dyDescent="0.25">
      <c r="A596">
        <v>595</v>
      </c>
      <c r="B596" s="1">
        <v>45742</v>
      </c>
      <c r="C596" s="2" t="s">
        <v>8</v>
      </c>
      <c r="D596">
        <v>30.25</v>
      </c>
      <c r="E596">
        <v>133</v>
      </c>
      <c r="F596">
        <v>4023.25</v>
      </c>
    </row>
    <row r="597" spans="1:6" x14ac:dyDescent="0.25">
      <c r="A597">
        <v>596</v>
      </c>
      <c r="B597" s="1">
        <v>45667</v>
      </c>
      <c r="C597" s="2" t="s">
        <v>27</v>
      </c>
      <c r="D597">
        <v>13.15</v>
      </c>
      <c r="E597">
        <v>183</v>
      </c>
      <c r="F597">
        <v>2406.4500000000003</v>
      </c>
    </row>
    <row r="598" spans="1:6" x14ac:dyDescent="0.25">
      <c r="A598">
        <v>597</v>
      </c>
      <c r="B598" s="1">
        <v>45798</v>
      </c>
      <c r="C598" s="2" t="s">
        <v>13</v>
      </c>
      <c r="D598">
        <v>7.43</v>
      </c>
      <c r="E598">
        <v>53</v>
      </c>
      <c r="F598">
        <v>393.78999999999996</v>
      </c>
    </row>
    <row r="599" spans="1:6" x14ac:dyDescent="0.25">
      <c r="A599">
        <v>598</v>
      </c>
      <c r="B599" s="1">
        <v>45817</v>
      </c>
      <c r="C599" s="2" t="s">
        <v>6</v>
      </c>
      <c r="D599">
        <v>109.17</v>
      </c>
      <c r="E599">
        <v>190</v>
      </c>
      <c r="F599">
        <v>20742.3</v>
      </c>
    </row>
    <row r="600" spans="1:6" x14ac:dyDescent="0.25">
      <c r="A600">
        <v>599</v>
      </c>
      <c r="B600" s="1">
        <v>45776</v>
      </c>
      <c r="C600" s="2" t="s">
        <v>26</v>
      </c>
      <c r="D600">
        <v>9.18</v>
      </c>
      <c r="E600">
        <v>31</v>
      </c>
      <c r="F600">
        <v>284.58</v>
      </c>
    </row>
    <row r="601" spans="1:6" x14ac:dyDescent="0.25">
      <c r="A601">
        <v>600</v>
      </c>
      <c r="B601" s="1">
        <v>45696</v>
      </c>
      <c r="C601" s="2" t="s">
        <v>12</v>
      </c>
      <c r="D601">
        <v>126.53</v>
      </c>
      <c r="E601">
        <v>89</v>
      </c>
      <c r="F601">
        <v>11261.17</v>
      </c>
    </row>
    <row r="602" spans="1:6" x14ac:dyDescent="0.25">
      <c r="A602">
        <v>601</v>
      </c>
      <c r="B602" s="1">
        <v>45806</v>
      </c>
      <c r="C602" s="2" t="s">
        <v>12</v>
      </c>
      <c r="D602">
        <v>103.68</v>
      </c>
      <c r="E602">
        <v>35</v>
      </c>
      <c r="F602">
        <v>3628.8</v>
      </c>
    </row>
    <row r="603" spans="1:6" x14ac:dyDescent="0.25">
      <c r="A603">
        <v>602</v>
      </c>
      <c r="B603" s="1">
        <v>45729</v>
      </c>
      <c r="C603" s="2" t="s">
        <v>17</v>
      </c>
      <c r="D603">
        <v>82.87</v>
      </c>
      <c r="E603">
        <v>143</v>
      </c>
      <c r="F603">
        <v>11850.41</v>
      </c>
    </row>
    <row r="604" spans="1:6" x14ac:dyDescent="0.25">
      <c r="A604">
        <v>603</v>
      </c>
      <c r="B604" s="1">
        <v>45819</v>
      </c>
      <c r="C604" s="2" t="s">
        <v>10</v>
      </c>
      <c r="D604">
        <v>65.53</v>
      </c>
      <c r="E604">
        <v>253</v>
      </c>
      <c r="F604">
        <v>16579.09</v>
      </c>
    </row>
    <row r="605" spans="1:6" x14ac:dyDescent="0.25">
      <c r="A605">
        <v>604</v>
      </c>
      <c r="B605" s="1">
        <v>45794</v>
      </c>
      <c r="C605" s="2" t="s">
        <v>23</v>
      </c>
      <c r="D605">
        <v>85.05</v>
      </c>
      <c r="E605">
        <v>26</v>
      </c>
      <c r="F605">
        <v>2211.2999999999997</v>
      </c>
    </row>
    <row r="606" spans="1:6" x14ac:dyDescent="0.25">
      <c r="A606">
        <v>605</v>
      </c>
      <c r="B606" s="1">
        <v>45689</v>
      </c>
      <c r="C606" s="2" t="s">
        <v>19</v>
      </c>
      <c r="D606">
        <v>10.09</v>
      </c>
      <c r="E606">
        <v>22</v>
      </c>
      <c r="F606">
        <v>221.98</v>
      </c>
    </row>
    <row r="607" spans="1:6" x14ac:dyDescent="0.25">
      <c r="A607">
        <v>606</v>
      </c>
      <c r="B607" s="1">
        <v>45837</v>
      </c>
      <c r="C607" s="2" t="s">
        <v>29</v>
      </c>
      <c r="D607">
        <v>99.74</v>
      </c>
      <c r="E607">
        <v>93</v>
      </c>
      <c r="F607">
        <v>9275.82</v>
      </c>
    </row>
    <row r="608" spans="1:6" x14ac:dyDescent="0.25">
      <c r="A608">
        <v>607</v>
      </c>
      <c r="B608" s="1">
        <v>45673</v>
      </c>
      <c r="C608" s="2" t="s">
        <v>21</v>
      </c>
      <c r="D608">
        <v>83.16</v>
      </c>
      <c r="E608">
        <v>57</v>
      </c>
      <c r="F608">
        <v>4740.12</v>
      </c>
    </row>
    <row r="609" spans="1:6" x14ac:dyDescent="0.25">
      <c r="A609">
        <v>608</v>
      </c>
      <c r="B609" s="1">
        <v>45753</v>
      </c>
      <c r="C609" s="2" t="s">
        <v>28</v>
      </c>
      <c r="D609">
        <v>58.59</v>
      </c>
      <c r="E609">
        <v>120</v>
      </c>
      <c r="F609">
        <v>7030.8</v>
      </c>
    </row>
    <row r="610" spans="1:6" x14ac:dyDescent="0.25">
      <c r="A610">
        <v>609</v>
      </c>
      <c r="B610" s="1">
        <v>45763</v>
      </c>
      <c r="C610" s="2" t="s">
        <v>28</v>
      </c>
      <c r="D610">
        <v>67.41</v>
      </c>
      <c r="E610">
        <v>78</v>
      </c>
      <c r="F610">
        <v>5257.98</v>
      </c>
    </row>
    <row r="611" spans="1:6" x14ac:dyDescent="0.25">
      <c r="A611">
        <v>610</v>
      </c>
      <c r="B611" s="1">
        <v>45828</v>
      </c>
      <c r="C611" s="2" t="s">
        <v>18</v>
      </c>
      <c r="D611">
        <v>71.180000000000007</v>
      </c>
      <c r="E611">
        <v>31</v>
      </c>
      <c r="F611">
        <v>2206.5800000000004</v>
      </c>
    </row>
    <row r="612" spans="1:6" x14ac:dyDescent="0.25">
      <c r="A612">
        <v>611</v>
      </c>
      <c r="B612" s="1">
        <v>45703</v>
      </c>
      <c r="C612" s="2" t="s">
        <v>25</v>
      </c>
      <c r="D612">
        <v>70.62</v>
      </c>
      <c r="E612">
        <v>69</v>
      </c>
      <c r="F612">
        <v>4872.7800000000007</v>
      </c>
    </row>
    <row r="613" spans="1:6" x14ac:dyDescent="0.25">
      <c r="A613">
        <v>612</v>
      </c>
      <c r="B613" s="1">
        <v>45788</v>
      </c>
      <c r="C613" s="2" t="s">
        <v>23</v>
      </c>
      <c r="D613">
        <v>74.55</v>
      </c>
      <c r="E613">
        <v>81</v>
      </c>
      <c r="F613">
        <v>6038.55</v>
      </c>
    </row>
    <row r="614" spans="1:6" x14ac:dyDescent="0.25">
      <c r="A614">
        <v>613</v>
      </c>
      <c r="B614" s="1">
        <v>45831</v>
      </c>
      <c r="C614" s="2" t="s">
        <v>25</v>
      </c>
      <c r="D614">
        <v>16.66</v>
      </c>
      <c r="E614">
        <v>20</v>
      </c>
      <c r="F614">
        <v>333.2</v>
      </c>
    </row>
    <row r="615" spans="1:6" x14ac:dyDescent="0.25">
      <c r="A615">
        <v>614</v>
      </c>
      <c r="B615" s="1">
        <v>45775</v>
      </c>
      <c r="C615" s="2" t="s">
        <v>14</v>
      </c>
      <c r="D615">
        <v>12.9</v>
      </c>
      <c r="E615">
        <v>37</v>
      </c>
      <c r="F615">
        <v>477.3</v>
      </c>
    </row>
    <row r="616" spans="1:6" x14ac:dyDescent="0.25">
      <c r="A616">
        <v>615</v>
      </c>
      <c r="B616" s="1">
        <v>45833</v>
      </c>
      <c r="C616" s="2" t="s">
        <v>28</v>
      </c>
      <c r="D616">
        <v>58.51</v>
      </c>
      <c r="E616">
        <v>108</v>
      </c>
      <c r="F616">
        <v>6319.08</v>
      </c>
    </row>
    <row r="617" spans="1:6" x14ac:dyDescent="0.25">
      <c r="A617">
        <v>616</v>
      </c>
      <c r="B617" s="1">
        <v>45797</v>
      </c>
      <c r="C617" s="2" t="s">
        <v>22</v>
      </c>
      <c r="D617">
        <v>23.36</v>
      </c>
      <c r="E617">
        <v>96</v>
      </c>
      <c r="F617">
        <v>2242.56</v>
      </c>
    </row>
    <row r="618" spans="1:6" x14ac:dyDescent="0.25">
      <c r="A618">
        <v>617</v>
      </c>
      <c r="B618" s="1">
        <v>45779</v>
      </c>
      <c r="C618" s="2" t="s">
        <v>16</v>
      </c>
      <c r="D618">
        <v>101.62</v>
      </c>
      <c r="E618">
        <v>64</v>
      </c>
      <c r="F618">
        <v>6503.68</v>
      </c>
    </row>
    <row r="619" spans="1:6" x14ac:dyDescent="0.25">
      <c r="A619">
        <v>618</v>
      </c>
      <c r="B619" s="1">
        <v>45691</v>
      </c>
      <c r="C619" s="2" t="s">
        <v>12</v>
      </c>
      <c r="D619">
        <v>79.91</v>
      </c>
      <c r="E619">
        <v>30</v>
      </c>
      <c r="F619">
        <v>2397.2999999999997</v>
      </c>
    </row>
    <row r="620" spans="1:6" x14ac:dyDescent="0.25">
      <c r="A620">
        <v>619</v>
      </c>
      <c r="B620" s="1">
        <v>45747</v>
      </c>
      <c r="C620" s="2" t="s">
        <v>29</v>
      </c>
      <c r="D620">
        <v>85.21</v>
      </c>
      <c r="E620">
        <v>68</v>
      </c>
      <c r="F620">
        <v>5794.28</v>
      </c>
    </row>
    <row r="621" spans="1:6" x14ac:dyDescent="0.25">
      <c r="A621">
        <v>620</v>
      </c>
      <c r="B621" s="1">
        <v>45829</v>
      </c>
      <c r="C621" s="2" t="s">
        <v>28</v>
      </c>
      <c r="D621">
        <v>41.71</v>
      </c>
      <c r="E621">
        <v>189</v>
      </c>
      <c r="F621">
        <v>7883.1900000000005</v>
      </c>
    </row>
    <row r="622" spans="1:6" x14ac:dyDescent="0.25">
      <c r="A622">
        <v>621</v>
      </c>
      <c r="B622" s="1">
        <v>45798</v>
      </c>
      <c r="C622" s="2" t="s">
        <v>8</v>
      </c>
      <c r="D622">
        <v>31.4</v>
      </c>
      <c r="E622">
        <v>88</v>
      </c>
      <c r="F622">
        <v>2763.2</v>
      </c>
    </row>
    <row r="623" spans="1:6" x14ac:dyDescent="0.25">
      <c r="A623">
        <v>622</v>
      </c>
      <c r="B623" s="1">
        <v>45813</v>
      </c>
      <c r="C623" s="2" t="s">
        <v>27</v>
      </c>
      <c r="D623">
        <v>6.28</v>
      </c>
      <c r="E623">
        <v>123</v>
      </c>
      <c r="F623">
        <v>772.44</v>
      </c>
    </row>
    <row r="624" spans="1:6" x14ac:dyDescent="0.25">
      <c r="A624">
        <v>623</v>
      </c>
      <c r="B624" s="1">
        <v>45791</v>
      </c>
      <c r="C624" s="2" t="s">
        <v>11</v>
      </c>
      <c r="D624">
        <v>4.1900000000000004</v>
      </c>
      <c r="E624">
        <v>237</v>
      </c>
      <c r="F624">
        <v>993.03000000000009</v>
      </c>
    </row>
    <row r="625" spans="1:6" x14ac:dyDescent="0.25">
      <c r="A625">
        <v>624</v>
      </c>
      <c r="B625" s="1">
        <v>45764</v>
      </c>
      <c r="C625" s="2" t="s">
        <v>12</v>
      </c>
      <c r="D625">
        <v>52.5</v>
      </c>
      <c r="E625">
        <v>43</v>
      </c>
      <c r="F625">
        <v>2257.5</v>
      </c>
    </row>
    <row r="626" spans="1:6" x14ac:dyDescent="0.25">
      <c r="A626">
        <v>625</v>
      </c>
      <c r="B626" s="1">
        <v>45663</v>
      </c>
      <c r="C626" s="2" t="s">
        <v>20</v>
      </c>
      <c r="D626">
        <v>24.45</v>
      </c>
      <c r="E626">
        <v>229</v>
      </c>
      <c r="F626">
        <v>5599.05</v>
      </c>
    </row>
    <row r="627" spans="1:6" x14ac:dyDescent="0.25">
      <c r="A627">
        <v>626</v>
      </c>
      <c r="B627" s="1">
        <v>45674</v>
      </c>
      <c r="C627" s="2" t="s">
        <v>9</v>
      </c>
      <c r="D627">
        <v>38.47</v>
      </c>
      <c r="E627">
        <v>224</v>
      </c>
      <c r="F627">
        <v>8617.2799999999988</v>
      </c>
    </row>
    <row r="628" spans="1:6" x14ac:dyDescent="0.25">
      <c r="A628">
        <v>627</v>
      </c>
      <c r="B628" s="1">
        <v>45699</v>
      </c>
      <c r="C628" s="2" t="s">
        <v>25</v>
      </c>
      <c r="D628">
        <v>33.03</v>
      </c>
      <c r="E628">
        <v>112</v>
      </c>
      <c r="F628">
        <v>3699.36</v>
      </c>
    </row>
    <row r="629" spans="1:6" x14ac:dyDescent="0.25">
      <c r="A629">
        <v>628</v>
      </c>
      <c r="B629" s="1">
        <v>45794</v>
      </c>
      <c r="C629" s="2" t="s">
        <v>24</v>
      </c>
      <c r="D629">
        <v>87.61</v>
      </c>
      <c r="E629">
        <v>124</v>
      </c>
      <c r="F629">
        <v>10863.64</v>
      </c>
    </row>
    <row r="630" spans="1:6" x14ac:dyDescent="0.25">
      <c r="A630">
        <v>629</v>
      </c>
      <c r="B630" s="1">
        <v>45771</v>
      </c>
      <c r="C630" s="2" t="s">
        <v>20</v>
      </c>
      <c r="D630">
        <v>13.04</v>
      </c>
      <c r="E630">
        <v>105</v>
      </c>
      <c r="F630">
        <v>1369.1999999999998</v>
      </c>
    </row>
    <row r="631" spans="1:6" x14ac:dyDescent="0.25">
      <c r="A631">
        <v>630</v>
      </c>
      <c r="B631" s="1">
        <v>45708</v>
      </c>
      <c r="C631" s="2" t="s">
        <v>29</v>
      </c>
      <c r="D631">
        <v>39.369999999999997</v>
      </c>
      <c r="E631">
        <v>110</v>
      </c>
      <c r="F631">
        <v>4330.7</v>
      </c>
    </row>
    <row r="632" spans="1:6" x14ac:dyDescent="0.25">
      <c r="A632">
        <v>631</v>
      </c>
      <c r="B632" s="1">
        <v>45695</v>
      </c>
      <c r="C632" s="2" t="s">
        <v>15</v>
      </c>
      <c r="D632">
        <v>17.25</v>
      </c>
      <c r="E632">
        <v>114</v>
      </c>
      <c r="F632">
        <v>1966.5</v>
      </c>
    </row>
    <row r="633" spans="1:6" x14ac:dyDescent="0.25">
      <c r="A633">
        <v>632</v>
      </c>
      <c r="B633" s="1">
        <v>45659</v>
      </c>
      <c r="C633" s="2" t="s">
        <v>30</v>
      </c>
      <c r="D633">
        <v>29.21</v>
      </c>
      <c r="E633">
        <v>210</v>
      </c>
      <c r="F633">
        <v>6134.1</v>
      </c>
    </row>
    <row r="634" spans="1:6" x14ac:dyDescent="0.25">
      <c r="A634">
        <v>633</v>
      </c>
      <c r="B634" s="1">
        <v>45835</v>
      </c>
      <c r="C634" s="2" t="s">
        <v>22</v>
      </c>
      <c r="D634">
        <v>54.14</v>
      </c>
      <c r="E634">
        <v>112</v>
      </c>
      <c r="F634">
        <v>6063.68</v>
      </c>
    </row>
    <row r="635" spans="1:6" x14ac:dyDescent="0.25">
      <c r="A635">
        <v>634</v>
      </c>
      <c r="B635" s="1">
        <v>45720</v>
      </c>
      <c r="C635" s="2" t="s">
        <v>11</v>
      </c>
      <c r="D635">
        <v>119.53</v>
      </c>
      <c r="E635">
        <v>120</v>
      </c>
      <c r="F635">
        <v>14343.6</v>
      </c>
    </row>
    <row r="636" spans="1:6" x14ac:dyDescent="0.25">
      <c r="A636">
        <v>635</v>
      </c>
      <c r="B636" s="1">
        <v>45738</v>
      </c>
      <c r="C636" s="2" t="s">
        <v>27</v>
      </c>
      <c r="D636">
        <v>128.55000000000001</v>
      </c>
      <c r="E636">
        <v>55</v>
      </c>
      <c r="F636">
        <v>7070.2500000000009</v>
      </c>
    </row>
    <row r="637" spans="1:6" x14ac:dyDescent="0.25">
      <c r="A637">
        <v>636</v>
      </c>
      <c r="B637" s="1">
        <v>45678</v>
      </c>
      <c r="C637" s="2" t="s">
        <v>19</v>
      </c>
      <c r="D637">
        <v>106.48</v>
      </c>
      <c r="E637">
        <v>175</v>
      </c>
      <c r="F637">
        <v>18634</v>
      </c>
    </row>
    <row r="638" spans="1:6" x14ac:dyDescent="0.25">
      <c r="A638">
        <v>637</v>
      </c>
      <c r="B638" s="1">
        <v>45669</v>
      </c>
      <c r="C638" s="2" t="s">
        <v>27</v>
      </c>
      <c r="D638">
        <v>149.55000000000001</v>
      </c>
      <c r="E638">
        <v>130</v>
      </c>
      <c r="F638">
        <v>19441.5</v>
      </c>
    </row>
    <row r="639" spans="1:6" x14ac:dyDescent="0.25">
      <c r="A639">
        <v>638</v>
      </c>
      <c r="B639" s="1">
        <v>45711</v>
      </c>
      <c r="C639" s="2" t="s">
        <v>14</v>
      </c>
      <c r="D639">
        <v>80.209999999999994</v>
      </c>
      <c r="E639">
        <v>227</v>
      </c>
      <c r="F639">
        <v>18207.669999999998</v>
      </c>
    </row>
    <row r="640" spans="1:6" x14ac:dyDescent="0.25">
      <c r="A640">
        <v>639</v>
      </c>
      <c r="B640" s="1">
        <v>45671</v>
      </c>
      <c r="C640" s="2" t="s">
        <v>20</v>
      </c>
      <c r="D640">
        <v>115.9</v>
      </c>
      <c r="E640">
        <v>64</v>
      </c>
      <c r="F640">
        <v>7417.6</v>
      </c>
    </row>
    <row r="641" spans="1:6" x14ac:dyDescent="0.25">
      <c r="A641">
        <v>640</v>
      </c>
      <c r="B641" s="1">
        <v>45757</v>
      </c>
      <c r="C641" s="2" t="s">
        <v>10</v>
      </c>
      <c r="D641">
        <v>53.03</v>
      </c>
      <c r="E641">
        <v>154</v>
      </c>
      <c r="F641">
        <v>8166.62</v>
      </c>
    </row>
    <row r="642" spans="1:6" x14ac:dyDescent="0.25">
      <c r="A642">
        <v>641</v>
      </c>
      <c r="B642" s="1">
        <v>45668</v>
      </c>
      <c r="C642" s="2" t="s">
        <v>7</v>
      </c>
      <c r="D642">
        <v>52.81</v>
      </c>
      <c r="E642">
        <v>89</v>
      </c>
      <c r="F642">
        <v>4700.09</v>
      </c>
    </row>
    <row r="643" spans="1:6" x14ac:dyDescent="0.25">
      <c r="A643">
        <v>642</v>
      </c>
      <c r="B643" s="1">
        <v>45731</v>
      </c>
      <c r="C643" s="2" t="s">
        <v>9</v>
      </c>
      <c r="D643">
        <v>81.599999999999994</v>
      </c>
      <c r="E643">
        <v>72</v>
      </c>
      <c r="F643">
        <v>5875.2</v>
      </c>
    </row>
    <row r="644" spans="1:6" x14ac:dyDescent="0.25">
      <c r="A644">
        <v>643</v>
      </c>
      <c r="B644" s="1">
        <v>45789</v>
      </c>
      <c r="C644" s="2" t="s">
        <v>21</v>
      </c>
      <c r="D644">
        <v>94.15</v>
      </c>
      <c r="E644">
        <v>218</v>
      </c>
      <c r="F644">
        <v>20524.7</v>
      </c>
    </row>
    <row r="645" spans="1:6" x14ac:dyDescent="0.25">
      <c r="A645">
        <v>644</v>
      </c>
      <c r="B645" s="1">
        <v>45778</v>
      </c>
      <c r="C645" s="2" t="s">
        <v>9</v>
      </c>
      <c r="D645">
        <v>110.35</v>
      </c>
      <c r="E645">
        <v>187</v>
      </c>
      <c r="F645">
        <v>20635.45</v>
      </c>
    </row>
    <row r="646" spans="1:6" x14ac:dyDescent="0.25">
      <c r="A646">
        <v>645</v>
      </c>
      <c r="B646" s="1">
        <v>45766</v>
      </c>
      <c r="C646" s="2" t="s">
        <v>25</v>
      </c>
      <c r="D646">
        <v>24.57</v>
      </c>
      <c r="E646">
        <v>108</v>
      </c>
      <c r="F646">
        <v>2653.56</v>
      </c>
    </row>
    <row r="647" spans="1:6" x14ac:dyDescent="0.25">
      <c r="A647">
        <v>646</v>
      </c>
      <c r="B647" s="1">
        <v>45759</v>
      </c>
      <c r="C647" s="2" t="s">
        <v>15</v>
      </c>
      <c r="D647">
        <v>17.190000000000001</v>
      </c>
      <c r="E647">
        <v>141</v>
      </c>
      <c r="F647">
        <v>2423.79</v>
      </c>
    </row>
    <row r="648" spans="1:6" x14ac:dyDescent="0.25">
      <c r="A648">
        <v>647</v>
      </c>
      <c r="B648" s="1">
        <v>45709</v>
      </c>
      <c r="C648" s="2" t="s">
        <v>25</v>
      </c>
      <c r="D648">
        <v>96.54</v>
      </c>
      <c r="E648">
        <v>48</v>
      </c>
      <c r="F648">
        <v>4633.92</v>
      </c>
    </row>
    <row r="649" spans="1:6" x14ac:dyDescent="0.25">
      <c r="A649">
        <v>648</v>
      </c>
      <c r="B649" s="1">
        <v>45684</v>
      </c>
      <c r="C649" s="2" t="s">
        <v>25</v>
      </c>
      <c r="D649">
        <v>69.38</v>
      </c>
      <c r="E649">
        <v>40</v>
      </c>
      <c r="F649">
        <v>2775.2</v>
      </c>
    </row>
    <row r="650" spans="1:6" x14ac:dyDescent="0.25">
      <c r="A650">
        <v>649</v>
      </c>
      <c r="B650" s="1">
        <v>45760</v>
      </c>
      <c r="C650" s="2" t="s">
        <v>14</v>
      </c>
      <c r="D650">
        <v>11.91</v>
      </c>
      <c r="E650">
        <v>269</v>
      </c>
      <c r="F650">
        <v>3203.79</v>
      </c>
    </row>
    <row r="651" spans="1:6" x14ac:dyDescent="0.25">
      <c r="A651">
        <v>650</v>
      </c>
      <c r="B651" s="1">
        <v>45694</v>
      </c>
      <c r="C651" s="2" t="s">
        <v>22</v>
      </c>
      <c r="D651">
        <v>82.55</v>
      </c>
      <c r="E651">
        <v>88</v>
      </c>
      <c r="F651">
        <v>7264.4</v>
      </c>
    </row>
    <row r="652" spans="1:6" x14ac:dyDescent="0.25">
      <c r="A652">
        <v>651</v>
      </c>
      <c r="B652" s="1">
        <v>45687</v>
      </c>
      <c r="C652" s="2" t="s">
        <v>30</v>
      </c>
      <c r="D652">
        <v>25.2</v>
      </c>
      <c r="E652">
        <v>204</v>
      </c>
      <c r="F652">
        <v>5140.8</v>
      </c>
    </row>
    <row r="653" spans="1:6" x14ac:dyDescent="0.25">
      <c r="A653">
        <v>652</v>
      </c>
      <c r="B653" s="1">
        <v>45665</v>
      </c>
      <c r="C653" s="2" t="s">
        <v>18</v>
      </c>
      <c r="D653">
        <v>43.13</v>
      </c>
      <c r="E653">
        <v>218</v>
      </c>
      <c r="F653">
        <v>9402.34</v>
      </c>
    </row>
    <row r="654" spans="1:6" x14ac:dyDescent="0.25">
      <c r="A654">
        <v>653</v>
      </c>
      <c r="B654" s="1">
        <v>45736</v>
      </c>
      <c r="C654" s="2" t="s">
        <v>20</v>
      </c>
      <c r="D654">
        <v>8.52</v>
      </c>
      <c r="E654">
        <v>89</v>
      </c>
      <c r="F654">
        <v>758.28</v>
      </c>
    </row>
    <row r="655" spans="1:6" x14ac:dyDescent="0.25">
      <c r="A655">
        <v>654</v>
      </c>
      <c r="B655" s="1">
        <v>45697</v>
      </c>
      <c r="C655" s="2" t="s">
        <v>24</v>
      </c>
      <c r="D655">
        <v>75.55</v>
      </c>
      <c r="E655">
        <v>131</v>
      </c>
      <c r="F655">
        <v>9897.0499999999993</v>
      </c>
    </row>
    <row r="656" spans="1:6" x14ac:dyDescent="0.25">
      <c r="A656">
        <v>655</v>
      </c>
      <c r="B656" s="1">
        <v>45774</v>
      </c>
      <c r="C656" s="2" t="s">
        <v>24</v>
      </c>
      <c r="D656">
        <v>56.77</v>
      </c>
      <c r="E656">
        <v>117</v>
      </c>
      <c r="F656">
        <v>6642.09</v>
      </c>
    </row>
    <row r="657" spans="1:6" x14ac:dyDescent="0.25">
      <c r="A657">
        <v>656</v>
      </c>
      <c r="B657" s="1">
        <v>45766</v>
      </c>
      <c r="C657" s="2" t="s">
        <v>27</v>
      </c>
      <c r="D657">
        <v>68.069999999999993</v>
      </c>
      <c r="E657">
        <v>78</v>
      </c>
      <c r="F657">
        <v>5309.4599999999991</v>
      </c>
    </row>
    <row r="658" spans="1:6" x14ac:dyDescent="0.25">
      <c r="A658">
        <v>657</v>
      </c>
      <c r="B658" s="1">
        <v>45796</v>
      </c>
      <c r="C658" s="2" t="s">
        <v>14</v>
      </c>
      <c r="D658">
        <v>87.3</v>
      </c>
      <c r="E658">
        <v>233</v>
      </c>
      <c r="F658">
        <v>20340.899999999998</v>
      </c>
    </row>
    <row r="659" spans="1:6" x14ac:dyDescent="0.25">
      <c r="A659">
        <v>658</v>
      </c>
      <c r="B659" s="1">
        <v>45690</v>
      </c>
      <c r="C659" s="2" t="s">
        <v>15</v>
      </c>
      <c r="D659">
        <v>39.090000000000003</v>
      </c>
      <c r="E659">
        <v>130</v>
      </c>
      <c r="F659">
        <v>5081.7000000000007</v>
      </c>
    </row>
    <row r="660" spans="1:6" x14ac:dyDescent="0.25">
      <c r="A660">
        <v>659</v>
      </c>
      <c r="B660" s="1">
        <v>45668</v>
      </c>
      <c r="C660" s="2" t="s">
        <v>26</v>
      </c>
      <c r="D660">
        <v>109.61</v>
      </c>
      <c r="E660">
        <v>101</v>
      </c>
      <c r="F660">
        <v>11070.61</v>
      </c>
    </row>
    <row r="661" spans="1:6" x14ac:dyDescent="0.25">
      <c r="A661">
        <v>660</v>
      </c>
      <c r="B661" s="1">
        <v>45663</v>
      </c>
      <c r="C661" s="2" t="s">
        <v>20</v>
      </c>
      <c r="D661">
        <v>83.07</v>
      </c>
      <c r="E661">
        <v>113</v>
      </c>
      <c r="F661">
        <v>9386.91</v>
      </c>
    </row>
    <row r="662" spans="1:6" x14ac:dyDescent="0.25">
      <c r="A662">
        <v>661</v>
      </c>
      <c r="B662" s="1">
        <v>45722</v>
      </c>
      <c r="C662" s="2" t="s">
        <v>16</v>
      </c>
      <c r="D662">
        <v>74.39</v>
      </c>
      <c r="E662">
        <v>71</v>
      </c>
      <c r="F662">
        <v>5281.69</v>
      </c>
    </row>
    <row r="663" spans="1:6" x14ac:dyDescent="0.25">
      <c r="A663">
        <v>662</v>
      </c>
      <c r="B663" s="1">
        <v>45668</v>
      </c>
      <c r="C663" s="2" t="s">
        <v>21</v>
      </c>
      <c r="D663">
        <v>49.19</v>
      </c>
      <c r="E663">
        <v>168</v>
      </c>
      <c r="F663">
        <v>8263.92</v>
      </c>
    </row>
    <row r="664" spans="1:6" x14ac:dyDescent="0.25">
      <c r="A664">
        <v>663</v>
      </c>
      <c r="B664" s="1">
        <v>45699</v>
      </c>
      <c r="C664" s="2" t="s">
        <v>6</v>
      </c>
      <c r="D664">
        <v>53.38</v>
      </c>
      <c r="E664">
        <v>72</v>
      </c>
      <c r="F664">
        <v>3843.36</v>
      </c>
    </row>
    <row r="665" spans="1:6" x14ac:dyDescent="0.25">
      <c r="A665">
        <v>664</v>
      </c>
      <c r="B665" s="1">
        <v>45737</v>
      </c>
      <c r="C665" s="2" t="s">
        <v>6</v>
      </c>
      <c r="D665">
        <v>66.290000000000006</v>
      </c>
      <c r="E665">
        <v>47</v>
      </c>
      <c r="F665">
        <v>3115.63</v>
      </c>
    </row>
    <row r="666" spans="1:6" x14ac:dyDescent="0.25">
      <c r="A666">
        <v>665</v>
      </c>
      <c r="B666" s="1">
        <v>45720</v>
      </c>
      <c r="C666" s="2" t="s">
        <v>11</v>
      </c>
      <c r="D666">
        <v>10.61</v>
      </c>
      <c r="E666">
        <v>27</v>
      </c>
      <c r="F666">
        <v>286.46999999999997</v>
      </c>
    </row>
    <row r="667" spans="1:6" x14ac:dyDescent="0.25">
      <c r="A667">
        <v>666</v>
      </c>
      <c r="B667" s="1">
        <v>45664</v>
      </c>
      <c r="C667" s="2" t="s">
        <v>17</v>
      </c>
      <c r="D667">
        <v>100.44</v>
      </c>
      <c r="E667">
        <v>198</v>
      </c>
      <c r="F667">
        <v>19887.12</v>
      </c>
    </row>
    <row r="668" spans="1:6" x14ac:dyDescent="0.25">
      <c r="A668">
        <v>667</v>
      </c>
      <c r="B668" s="1">
        <v>45834</v>
      </c>
      <c r="C668" s="2" t="s">
        <v>30</v>
      </c>
      <c r="D668">
        <v>20.84</v>
      </c>
      <c r="E668">
        <v>100</v>
      </c>
      <c r="F668">
        <v>2084</v>
      </c>
    </row>
    <row r="669" spans="1:6" x14ac:dyDescent="0.25">
      <c r="A669">
        <v>668</v>
      </c>
      <c r="B669" s="1">
        <v>45690</v>
      </c>
      <c r="C669" s="2" t="s">
        <v>20</v>
      </c>
      <c r="D669">
        <v>81.56</v>
      </c>
      <c r="E669">
        <v>21</v>
      </c>
      <c r="F669">
        <v>1712.76</v>
      </c>
    </row>
    <row r="670" spans="1:6" x14ac:dyDescent="0.25">
      <c r="A670">
        <v>669</v>
      </c>
      <c r="B670" s="1">
        <v>45738</v>
      </c>
      <c r="C670" s="2" t="s">
        <v>19</v>
      </c>
      <c r="D670">
        <v>92.04</v>
      </c>
      <c r="E670">
        <v>172</v>
      </c>
      <c r="F670">
        <v>15830.880000000001</v>
      </c>
    </row>
    <row r="671" spans="1:6" x14ac:dyDescent="0.25">
      <c r="A671">
        <v>670</v>
      </c>
      <c r="B671" s="1">
        <v>45805</v>
      </c>
      <c r="C671" s="2" t="s">
        <v>20</v>
      </c>
      <c r="D671">
        <v>136.22999999999999</v>
      </c>
      <c r="E671">
        <v>165</v>
      </c>
      <c r="F671">
        <v>22477.949999999997</v>
      </c>
    </row>
    <row r="672" spans="1:6" x14ac:dyDescent="0.25">
      <c r="A672">
        <v>671</v>
      </c>
      <c r="B672" s="1">
        <v>45828</v>
      </c>
      <c r="C672" s="2" t="s">
        <v>30</v>
      </c>
      <c r="D672">
        <v>99.56</v>
      </c>
      <c r="E672">
        <v>126</v>
      </c>
      <c r="F672">
        <v>12544.56</v>
      </c>
    </row>
    <row r="673" spans="1:6" x14ac:dyDescent="0.25">
      <c r="A673">
        <v>672</v>
      </c>
      <c r="B673" s="1">
        <v>45708</v>
      </c>
      <c r="C673" s="2" t="s">
        <v>11</v>
      </c>
      <c r="D673">
        <v>88.11</v>
      </c>
      <c r="E673">
        <v>172</v>
      </c>
      <c r="F673">
        <v>15154.92</v>
      </c>
    </row>
    <row r="674" spans="1:6" x14ac:dyDescent="0.25">
      <c r="A674">
        <v>673</v>
      </c>
      <c r="B674" s="1">
        <v>45798</v>
      </c>
      <c r="C674" s="2" t="s">
        <v>16</v>
      </c>
      <c r="D674">
        <v>61.09</v>
      </c>
      <c r="E674">
        <v>87</v>
      </c>
      <c r="F674">
        <v>5314.83</v>
      </c>
    </row>
    <row r="675" spans="1:6" x14ac:dyDescent="0.25">
      <c r="A675">
        <v>674</v>
      </c>
      <c r="B675" s="1">
        <v>45781</v>
      </c>
      <c r="C675" s="2" t="s">
        <v>27</v>
      </c>
      <c r="D675">
        <v>113.47</v>
      </c>
      <c r="E675">
        <v>95</v>
      </c>
      <c r="F675">
        <v>10779.65</v>
      </c>
    </row>
    <row r="676" spans="1:6" x14ac:dyDescent="0.25">
      <c r="A676">
        <v>675</v>
      </c>
      <c r="B676" s="1">
        <v>45665</v>
      </c>
      <c r="C676" s="2" t="s">
        <v>24</v>
      </c>
      <c r="D676">
        <v>86.98</v>
      </c>
      <c r="E676">
        <v>156</v>
      </c>
      <c r="F676">
        <v>13568.880000000001</v>
      </c>
    </row>
    <row r="677" spans="1:6" x14ac:dyDescent="0.25">
      <c r="A677">
        <v>676</v>
      </c>
      <c r="B677" s="1">
        <v>45802</v>
      </c>
      <c r="C677" s="2" t="s">
        <v>13</v>
      </c>
      <c r="D677">
        <v>50.65</v>
      </c>
      <c r="E677">
        <v>53</v>
      </c>
      <c r="F677">
        <v>2684.45</v>
      </c>
    </row>
    <row r="678" spans="1:6" x14ac:dyDescent="0.25">
      <c r="A678">
        <v>677</v>
      </c>
      <c r="B678" s="1">
        <v>45749</v>
      </c>
      <c r="C678" s="2" t="s">
        <v>19</v>
      </c>
      <c r="D678">
        <v>63.7</v>
      </c>
      <c r="E678">
        <v>28</v>
      </c>
      <c r="F678">
        <v>1783.6000000000001</v>
      </c>
    </row>
    <row r="679" spans="1:6" x14ac:dyDescent="0.25">
      <c r="A679">
        <v>678</v>
      </c>
      <c r="B679" s="1">
        <v>45774</v>
      </c>
      <c r="C679" s="2" t="s">
        <v>29</v>
      </c>
      <c r="D679">
        <v>63.76</v>
      </c>
      <c r="E679">
        <v>45</v>
      </c>
      <c r="F679">
        <v>2869.2</v>
      </c>
    </row>
    <row r="680" spans="1:6" x14ac:dyDescent="0.25">
      <c r="A680">
        <v>679</v>
      </c>
      <c r="B680" s="1">
        <v>45813</v>
      </c>
      <c r="C680" s="2" t="s">
        <v>26</v>
      </c>
      <c r="D680">
        <v>63.57</v>
      </c>
      <c r="E680">
        <v>142</v>
      </c>
      <c r="F680">
        <v>9026.94</v>
      </c>
    </row>
    <row r="681" spans="1:6" x14ac:dyDescent="0.25">
      <c r="A681">
        <v>680</v>
      </c>
      <c r="B681" s="1">
        <v>45690</v>
      </c>
      <c r="C681" s="2" t="s">
        <v>17</v>
      </c>
      <c r="D681">
        <v>24.4</v>
      </c>
      <c r="E681">
        <v>71</v>
      </c>
      <c r="F681">
        <v>1732.3999999999999</v>
      </c>
    </row>
    <row r="682" spans="1:6" x14ac:dyDescent="0.25">
      <c r="A682">
        <v>681</v>
      </c>
      <c r="B682" s="1">
        <v>45831</v>
      </c>
      <c r="C682" s="2" t="s">
        <v>23</v>
      </c>
      <c r="D682">
        <v>83.22</v>
      </c>
      <c r="E682">
        <v>46</v>
      </c>
      <c r="F682">
        <v>3828.12</v>
      </c>
    </row>
    <row r="683" spans="1:6" x14ac:dyDescent="0.25">
      <c r="A683">
        <v>682</v>
      </c>
      <c r="B683" s="1">
        <v>45721</v>
      </c>
      <c r="C683" s="2" t="s">
        <v>14</v>
      </c>
      <c r="D683">
        <v>47.78</v>
      </c>
      <c r="E683">
        <v>160</v>
      </c>
      <c r="F683">
        <v>7644.8</v>
      </c>
    </row>
    <row r="684" spans="1:6" x14ac:dyDescent="0.25">
      <c r="A684">
        <v>683</v>
      </c>
      <c r="B684" s="1">
        <v>45752</v>
      </c>
      <c r="C684" s="2" t="s">
        <v>13</v>
      </c>
      <c r="D684">
        <v>27.78</v>
      </c>
      <c r="E684">
        <v>28</v>
      </c>
      <c r="F684">
        <v>777.84</v>
      </c>
    </row>
    <row r="685" spans="1:6" x14ac:dyDescent="0.25">
      <c r="A685">
        <v>684</v>
      </c>
      <c r="B685" s="1">
        <v>45717</v>
      </c>
      <c r="C685" s="2" t="s">
        <v>7</v>
      </c>
      <c r="D685">
        <v>42.72</v>
      </c>
      <c r="E685">
        <v>50</v>
      </c>
      <c r="F685">
        <v>2136</v>
      </c>
    </row>
    <row r="686" spans="1:6" x14ac:dyDescent="0.25">
      <c r="A686">
        <v>685</v>
      </c>
      <c r="B686" s="1">
        <v>45805</v>
      </c>
      <c r="C686" s="2" t="s">
        <v>21</v>
      </c>
      <c r="D686">
        <v>44.14</v>
      </c>
      <c r="E686">
        <v>74</v>
      </c>
      <c r="F686">
        <v>3266.36</v>
      </c>
    </row>
    <row r="687" spans="1:6" x14ac:dyDescent="0.25">
      <c r="A687">
        <v>686</v>
      </c>
      <c r="B687" s="1">
        <v>45790</v>
      </c>
      <c r="C687" s="2" t="s">
        <v>14</v>
      </c>
      <c r="D687">
        <v>83.08</v>
      </c>
      <c r="E687">
        <v>228</v>
      </c>
      <c r="F687">
        <v>18942.239999999998</v>
      </c>
    </row>
    <row r="688" spans="1:6" x14ac:dyDescent="0.25">
      <c r="A688">
        <v>687</v>
      </c>
      <c r="B688" s="1">
        <v>45689</v>
      </c>
      <c r="C688" s="2" t="s">
        <v>18</v>
      </c>
      <c r="D688">
        <v>44.84</v>
      </c>
      <c r="E688">
        <v>210</v>
      </c>
      <c r="F688">
        <v>9416.4000000000015</v>
      </c>
    </row>
    <row r="689" spans="1:6" x14ac:dyDescent="0.25">
      <c r="A689">
        <v>688</v>
      </c>
      <c r="B689" s="1">
        <v>45837</v>
      </c>
      <c r="C689" s="2" t="s">
        <v>30</v>
      </c>
      <c r="D689">
        <v>47.99</v>
      </c>
      <c r="E689">
        <v>98</v>
      </c>
      <c r="F689">
        <v>4703.0200000000004</v>
      </c>
    </row>
    <row r="690" spans="1:6" x14ac:dyDescent="0.25">
      <c r="A690">
        <v>689</v>
      </c>
      <c r="B690" s="1">
        <v>45787</v>
      </c>
      <c r="C690" s="2" t="s">
        <v>26</v>
      </c>
      <c r="D690">
        <v>53.9</v>
      </c>
      <c r="E690">
        <v>27</v>
      </c>
      <c r="F690">
        <v>1455.3</v>
      </c>
    </row>
    <row r="691" spans="1:6" x14ac:dyDescent="0.25">
      <c r="A691">
        <v>690</v>
      </c>
      <c r="B691" s="1">
        <v>45745</v>
      </c>
      <c r="C691" s="2" t="s">
        <v>12</v>
      </c>
      <c r="D691">
        <v>90.99</v>
      </c>
      <c r="E691">
        <v>158</v>
      </c>
      <c r="F691">
        <v>14376.42</v>
      </c>
    </row>
    <row r="692" spans="1:6" x14ac:dyDescent="0.25">
      <c r="A692">
        <v>691</v>
      </c>
      <c r="B692" s="1">
        <v>45825</v>
      </c>
      <c r="C692" s="2" t="s">
        <v>18</v>
      </c>
      <c r="D692">
        <v>55.32</v>
      </c>
      <c r="E692">
        <v>148</v>
      </c>
      <c r="F692">
        <v>8187.36</v>
      </c>
    </row>
    <row r="693" spans="1:6" x14ac:dyDescent="0.25">
      <c r="A693">
        <v>692</v>
      </c>
      <c r="B693" s="1">
        <v>45678</v>
      </c>
      <c r="C693" s="2" t="s">
        <v>20</v>
      </c>
      <c r="D693">
        <v>30.68</v>
      </c>
      <c r="E693">
        <v>161</v>
      </c>
      <c r="F693">
        <v>4939.4799999999996</v>
      </c>
    </row>
    <row r="694" spans="1:6" x14ac:dyDescent="0.25">
      <c r="A694">
        <v>693</v>
      </c>
      <c r="B694" s="1">
        <v>45691</v>
      </c>
      <c r="C694" s="2" t="s">
        <v>13</v>
      </c>
      <c r="D694">
        <v>38.31</v>
      </c>
      <c r="E694">
        <v>122</v>
      </c>
      <c r="F694">
        <v>4673.8200000000006</v>
      </c>
    </row>
    <row r="695" spans="1:6" x14ac:dyDescent="0.25">
      <c r="A695">
        <v>694</v>
      </c>
      <c r="B695" s="1">
        <v>45759</v>
      </c>
      <c r="C695" s="2" t="s">
        <v>26</v>
      </c>
      <c r="D695">
        <v>88.1</v>
      </c>
      <c r="E695">
        <v>96</v>
      </c>
      <c r="F695">
        <v>8457.5999999999985</v>
      </c>
    </row>
    <row r="696" spans="1:6" x14ac:dyDescent="0.25">
      <c r="A696">
        <v>695</v>
      </c>
      <c r="B696" s="1">
        <v>45734</v>
      </c>
      <c r="C696" s="2" t="s">
        <v>8</v>
      </c>
      <c r="D696">
        <v>45.06</v>
      </c>
      <c r="E696">
        <v>125</v>
      </c>
      <c r="F696">
        <v>5632.5</v>
      </c>
    </row>
    <row r="697" spans="1:6" x14ac:dyDescent="0.25">
      <c r="A697">
        <v>696</v>
      </c>
      <c r="B697" s="1">
        <v>45682</v>
      </c>
      <c r="C697" s="2" t="s">
        <v>15</v>
      </c>
      <c r="D697">
        <v>83.53</v>
      </c>
      <c r="E697">
        <v>213</v>
      </c>
      <c r="F697">
        <v>17791.89</v>
      </c>
    </row>
    <row r="698" spans="1:6" x14ac:dyDescent="0.25">
      <c r="A698">
        <v>697</v>
      </c>
      <c r="B698" s="1">
        <v>45676</v>
      </c>
      <c r="C698" s="2" t="s">
        <v>25</v>
      </c>
      <c r="D698">
        <v>49.38</v>
      </c>
      <c r="E698">
        <v>163</v>
      </c>
      <c r="F698">
        <v>8048.9400000000005</v>
      </c>
    </row>
    <row r="699" spans="1:6" x14ac:dyDescent="0.25">
      <c r="A699">
        <v>698</v>
      </c>
      <c r="B699" s="1">
        <v>45823</v>
      </c>
      <c r="C699" s="2" t="s">
        <v>10</v>
      </c>
      <c r="D699">
        <v>86.37</v>
      </c>
      <c r="E699">
        <v>109</v>
      </c>
      <c r="F699">
        <v>9414.33</v>
      </c>
    </row>
    <row r="700" spans="1:6" x14ac:dyDescent="0.25">
      <c r="A700">
        <v>699</v>
      </c>
      <c r="B700" s="1">
        <v>45823</v>
      </c>
      <c r="C700" s="2" t="s">
        <v>28</v>
      </c>
      <c r="D700">
        <v>5.35</v>
      </c>
      <c r="E700">
        <v>204</v>
      </c>
      <c r="F700">
        <v>1091.3999999999999</v>
      </c>
    </row>
    <row r="701" spans="1:6" x14ac:dyDescent="0.25">
      <c r="A701">
        <v>700</v>
      </c>
      <c r="B701" s="1">
        <v>45716</v>
      </c>
      <c r="C701" s="2" t="s">
        <v>12</v>
      </c>
      <c r="D701">
        <v>65.040000000000006</v>
      </c>
      <c r="E701">
        <v>46</v>
      </c>
      <c r="F701">
        <v>2991.84</v>
      </c>
    </row>
    <row r="702" spans="1:6" x14ac:dyDescent="0.25">
      <c r="A702">
        <v>701</v>
      </c>
      <c r="B702" s="1">
        <v>45758</v>
      </c>
      <c r="C702" s="2" t="s">
        <v>27</v>
      </c>
      <c r="D702">
        <v>23.86</v>
      </c>
      <c r="E702">
        <v>40</v>
      </c>
      <c r="F702">
        <v>954.4</v>
      </c>
    </row>
    <row r="703" spans="1:6" x14ac:dyDescent="0.25">
      <c r="A703">
        <v>702</v>
      </c>
      <c r="B703" s="1">
        <v>45682</v>
      </c>
      <c r="C703" s="2" t="s">
        <v>9</v>
      </c>
      <c r="D703">
        <v>70.22</v>
      </c>
      <c r="E703">
        <v>46</v>
      </c>
      <c r="F703">
        <v>3230.12</v>
      </c>
    </row>
    <row r="704" spans="1:6" x14ac:dyDescent="0.25">
      <c r="A704">
        <v>703</v>
      </c>
      <c r="B704" s="1">
        <v>45696</v>
      </c>
      <c r="C704" s="2" t="s">
        <v>16</v>
      </c>
      <c r="D704">
        <v>117.46</v>
      </c>
      <c r="E704">
        <v>125</v>
      </c>
      <c r="F704">
        <v>14682.5</v>
      </c>
    </row>
    <row r="705" spans="1:6" x14ac:dyDescent="0.25">
      <c r="A705">
        <v>704</v>
      </c>
      <c r="B705" s="1">
        <v>45761</v>
      </c>
      <c r="C705" s="2" t="s">
        <v>14</v>
      </c>
      <c r="D705">
        <v>90.33</v>
      </c>
      <c r="E705">
        <v>67</v>
      </c>
      <c r="F705">
        <v>6052.11</v>
      </c>
    </row>
    <row r="706" spans="1:6" x14ac:dyDescent="0.25">
      <c r="A706">
        <v>705</v>
      </c>
      <c r="B706" s="1">
        <v>45749</v>
      </c>
      <c r="C706" s="2" t="s">
        <v>12</v>
      </c>
      <c r="D706">
        <v>60.46</v>
      </c>
      <c r="E706">
        <v>146</v>
      </c>
      <c r="F706">
        <v>8827.16</v>
      </c>
    </row>
    <row r="707" spans="1:6" x14ac:dyDescent="0.25">
      <c r="A707">
        <v>706</v>
      </c>
      <c r="B707" s="1">
        <v>45779</v>
      </c>
      <c r="C707" s="2" t="s">
        <v>26</v>
      </c>
      <c r="D707">
        <v>8.1999999999999993</v>
      </c>
      <c r="E707">
        <v>40</v>
      </c>
      <c r="F707">
        <v>328</v>
      </c>
    </row>
    <row r="708" spans="1:6" x14ac:dyDescent="0.25">
      <c r="A708">
        <v>707</v>
      </c>
      <c r="B708" s="1">
        <v>45672</v>
      </c>
      <c r="C708" s="2" t="s">
        <v>7</v>
      </c>
      <c r="D708">
        <v>52.34</v>
      </c>
      <c r="E708">
        <v>166</v>
      </c>
      <c r="F708">
        <v>8688.44</v>
      </c>
    </row>
    <row r="709" spans="1:6" x14ac:dyDescent="0.25">
      <c r="A709">
        <v>708</v>
      </c>
      <c r="B709" s="1">
        <v>45744</v>
      </c>
      <c r="C709" s="2" t="s">
        <v>11</v>
      </c>
      <c r="D709">
        <v>60.16</v>
      </c>
      <c r="E709">
        <v>99</v>
      </c>
      <c r="F709">
        <v>5955.8399999999992</v>
      </c>
    </row>
    <row r="710" spans="1:6" x14ac:dyDescent="0.25">
      <c r="A710">
        <v>709</v>
      </c>
      <c r="B710" s="1">
        <v>45706</v>
      </c>
      <c r="C710" s="2" t="s">
        <v>21</v>
      </c>
      <c r="D710">
        <v>107.01</v>
      </c>
      <c r="E710">
        <v>185</v>
      </c>
      <c r="F710">
        <v>19796.850000000002</v>
      </c>
    </row>
    <row r="711" spans="1:6" x14ac:dyDescent="0.25">
      <c r="A711">
        <v>710</v>
      </c>
      <c r="B711" s="1">
        <v>45732</v>
      </c>
      <c r="C711" s="2" t="s">
        <v>6</v>
      </c>
      <c r="D711">
        <v>30.36</v>
      </c>
      <c r="E711">
        <v>154</v>
      </c>
      <c r="F711">
        <v>4675.4399999999996</v>
      </c>
    </row>
    <row r="712" spans="1:6" x14ac:dyDescent="0.25">
      <c r="A712">
        <v>711</v>
      </c>
      <c r="B712" s="1">
        <v>45812</v>
      </c>
      <c r="C712" s="2" t="s">
        <v>9</v>
      </c>
      <c r="D712">
        <v>115.68</v>
      </c>
      <c r="E712">
        <v>18</v>
      </c>
      <c r="F712">
        <v>2082.2400000000002</v>
      </c>
    </row>
    <row r="713" spans="1:6" x14ac:dyDescent="0.25">
      <c r="A713">
        <v>712</v>
      </c>
      <c r="B713" s="1">
        <v>45730</v>
      </c>
      <c r="C713" s="2" t="s">
        <v>27</v>
      </c>
      <c r="D713">
        <v>94.81</v>
      </c>
      <c r="E713">
        <v>36</v>
      </c>
      <c r="F713">
        <v>3413.16</v>
      </c>
    </row>
    <row r="714" spans="1:6" x14ac:dyDescent="0.25">
      <c r="A714">
        <v>713</v>
      </c>
      <c r="B714" s="1">
        <v>45690</v>
      </c>
      <c r="C714" s="2" t="s">
        <v>21</v>
      </c>
      <c r="D714">
        <v>30.48</v>
      </c>
      <c r="E714">
        <v>69</v>
      </c>
      <c r="F714">
        <v>2103.12</v>
      </c>
    </row>
    <row r="715" spans="1:6" x14ac:dyDescent="0.25">
      <c r="A715">
        <v>714</v>
      </c>
      <c r="B715" s="1">
        <v>45706</v>
      </c>
      <c r="C715" s="2" t="s">
        <v>24</v>
      </c>
      <c r="D715">
        <v>33.89</v>
      </c>
      <c r="E715">
        <v>258</v>
      </c>
      <c r="F715">
        <v>8743.6200000000008</v>
      </c>
    </row>
    <row r="716" spans="1:6" x14ac:dyDescent="0.25">
      <c r="A716">
        <v>715</v>
      </c>
      <c r="B716" s="1">
        <v>45678</v>
      </c>
      <c r="C716" s="2" t="s">
        <v>28</v>
      </c>
      <c r="D716">
        <v>92.04</v>
      </c>
      <c r="E716">
        <v>266</v>
      </c>
      <c r="F716">
        <v>24482.640000000003</v>
      </c>
    </row>
    <row r="717" spans="1:6" x14ac:dyDescent="0.25">
      <c r="A717">
        <v>716</v>
      </c>
      <c r="B717" s="1">
        <v>45774</v>
      </c>
      <c r="C717" s="2" t="s">
        <v>19</v>
      </c>
      <c r="D717">
        <v>22.86</v>
      </c>
      <c r="E717">
        <v>76</v>
      </c>
      <c r="F717">
        <v>1737.36</v>
      </c>
    </row>
    <row r="718" spans="1:6" x14ac:dyDescent="0.25">
      <c r="A718">
        <v>717</v>
      </c>
      <c r="B718" s="1">
        <v>45767</v>
      </c>
      <c r="C718" s="2" t="s">
        <v>29</v>
      </c>
      <c r="D718">
        <v>12.83</v>
      </c>
      <c r="E718">
        <v>44</v>
      </c>
      <c r="F718">
        <v>564.52</v>
      </c>
    </row>
    <row r="719" spans="1:6" x14ac:dyDescent="0.25">
      <c r="A719">
        <v>718</v>
      </c>
      <c r="B719" s="1">
        <v>45705</v>
      </c>
      <c r="C719" s="2" t="s">
        <v>15</v>
      </c>
      <c r="D719">
        <v>82.83</v>
      </c>
      <c r="E719">
        <v>75</v>
      </c>
      <c r="F719">
        <v>6212.25</v>
      </c>
    </row>
    <row r="720" spans="1:6" x14ac:dyDescent="0.25">
      <c r="A720">
        <v>719</v>
      </c>
      <c r="B720" s="1">
        <v>45689</v>
      </c>
      <c r="C720" s="2" t="s">
        <v>29</v>
      </c>
      <c r="D720">
        <v>82.2</v>
      </c>
      <c r="E720">
        <v>32</v>
      </c>
      <c r="F720">
        <v>2630.4</v>
      </c>
    </row>
    <row r="721" spans="1:6" x14ac:dyDescent="0.25">
      <c r="A721">
        <v>720</v>
      </c>
      <c r="B721" s="1">
        <v>45669</v>
      </c>
      <c r="C721" s="2" t="s">
        <v>25</v>
      </c>
      <c r="D721">
        <v>91.52</v>
      </c>
      <c r="E721">
        <v>177</v>
      </c>
      <c r="F721">
        <v>16199.039999999999</v>
      </c>
    </row>
    <row r="722" spans="1:6" x14ac:dyDescent="0.25">
      <c r="A722">
        <v>721</v>
      </c>
      <c r="B722" s="1">
        <v>45724</v>
      </c>
      <c r="C722" s="2" t="s">
        <v>19</v>
      </c>
      <c r="D722">
        <v>79.09</v>
      </c>
      <c r="E722">
        <v>39</v>
      </c>
      <c r="F722">
        <v>3084.51</v>
      </c>
    </row>
    <row r="723" spans="1:6" x14ac:dyDescent="0.25">
      <c r="A723">
        <v>722</v>
      </c>
      <c r="B723" s="1">
        <v>45692</v>
      </c>
      <c r="C723" s="2" t="s">
        <v>26</v>
      </c>
      <c r="D723">
        <v>87.95</v>
      </c>
      <c r="E723">
        <v>73</v>
      </c>
      <c r="F723">
        <v>6420.35</v>
      </c>
    </row>
    <row r="724" spans="1:6" x14ac:dyDescent="0.25">
      <c r="A724">
        <v>723</v>
      </c>
      <c r="B724" s="1">
        <v>45732</v>
      </c>
      <c r="C724" s="2" t="s">
        <v>14</v>
      </c>
      <c r="D724">
        <v>86.99</v>
      </c>
      <c r="E724">
        <v>153</v>
      </c>
      <c r="F724">
        <v>13309.47</v>
      </c>
    </row>
    <row r="725" spans="1:6" x14ac:dyDescent="0.25">
      <c r="A725">
        <v>724</v>
      </c>
      <c r="B725" s="1">
        <v>45737</v>
      </c>
      <c r="C725" s="2" t="s">
        <v>14</v>
      </c>
      <c r="D725">
        <v>39.32</v>
      </c>
      <c r="E725">
        <v>103</v>
      </c>
      <c r="F725">
        <v>4049.96</v>
      </c>
    </row>
    <row r="726" spans="1:6" x14ac:dyDescent="0.25">
      <c r="A726">
        <v>725</v>
      </c>
      <c r="B726" s="1">
        <v>45780</v>
      </c>
      <c r="C726" s="2" t="s">
        <v>15</v>
      </c>
      <c r="D726">
        <v>100.74</v>
      </c>
      <c r="E726">
        <v>131</v>
      </c>
      <c r="F726">
        <v>13196.939999999999</v>
      </c>
    </row>
    <row r="727" spans="1:6" x14ac:dyDescent="0.25">
      <c r="A727">
        <v>726</v>
      </c>
      <c r="B727" s="1">
        <v>45677</v>
      </c>
      <c r="C727" s="2" t="s">
        <v>10</v>
      </c>
      <c r="D727">
        <v>87.35</v>
      </c>
      <c r="E727">
        <v>65</v>
      </c>
      <c r="F727">
        <v>5677.75</v>
      </c>
    </row>
    <row r="728" spans="1:6" x14ac:dyDescent="0.25">
      <c r="A728">
        <v>727</v>
      </c>
      <c r="B728" s="1">
        <v>45714</v>
      </c>
      <c r="C728" s="2" t="s">
        <v>13</v>
      </c>
      <c r="D728">
        <v>84.86</v>
      </c>
      <c r="E728">
        <v>109</v>
      </c>
      <c r="F728">
        <v>9249.74</v>
      </c>
    </row>
    <row r="729" spans="1:6" x14ac:dyDescent="0.25">
      <c r="A729">
        <v>728</v>
      </c>
      <c r="B729" s="1">
        <v>45737</v>
      </c>
      <c r="C729" s="2" t="s">
        <v>13</v>
      </c>
      <c r="D729">
        <v>59.32</v>
      </c>
      <c r="E729">
        <v>92</v>
      </c>
      <c r="F729">
        <v>5457.44</v>
      </c>
    </row>
    <row r="730" spans="1:6" x14ac:dyDescent="0.25">
      <c r="A730">
        <v>729</v>
      </c>
      <c r="B730" s="1">
        <v>45685</v>
      </c>
      <c r="C730" s="2" t="s">
        <v>26</v>
      </c>
      <c r="D730">
        <v>26.42</v>
      </c>
      <c r="E730">
        <v>112</v>
      </c>
      <c r="F730">
        <v>2959.04</v>
      </c>
    </row>
    <row r="731" spans="1:6" x14ac:dyDescent="0.25">
      <c r="A731">
        <v>730</v>
      </c>
      <c r="B731" s="1">
        <v>45701</v>
      </c>
      <c r="C731" s="2" t="s">
        <v>28</v>
      </c>
      <c r="D731">
        <v>20.170000000000002</v>
      </c>
      <c r="E731">
        <v>110</v>
      </c>
      <c r="F731">
        <v>2218.7000000000003</v>
      </c>
    </row>
    <row r="732" spans="1:6" x14ac:dyDescent="0.25">
      <c r="A732">
        <v>731</v>
      </c>
      <c r="B732" s="1">
        <v>45722</v>
      </c>
      <c r="C732" s="2" t="s">
        <v>16</v>
      </c>
      <c r="D732">
        <v>92.37</v>
      </c>
      <c r="E732">
        <v>82</v>
      </c>
      <c r="F732">
        <v>7574.34</v>
      </c>
    </row>
    <row r="733" spans="1:6" x14ac:dyDescent="0.25">
      <c r="A733">
        <v>732</v>
      </c>
      <c r="B733" s="1">
        <v>45772</v>
      </c>
      <c r="C733" s="2" t="s">
        <v>7</v>
      </c>
      <c r="D733">
        <v>39.36</v>
      </c>
      <c r="E733">
        <v>148</v>
      </c>
      <c r="F733">
        <v>5825.28</v>
      </c>
    </row>
    <row r="734" spans="1:6" x14ac:dyDescent="0.25">
      <c r="A734">
        <v>733</v>
      </c>
      <c r="B734" s="1">
        <v>45835</v>
      </c>
      <c r="C734" s="2" t="s">
        <v>11</v>
      </c>
      <c r="D734">
        <v>103.39</v>
      </c>
      <c r="E734">
        <v>115</v>
      </c>
      <c r="F734">
        <v>11889.85</v>
      </c>
    </row>
    <row r="735" spans="1:6" x14ac:dyDescent="0.25">
      <c r="A735">
        <v>734</v>
      </c>
      <c r="B735" s="1">
        <v>45771</v>
      </c>
      <c r="C735" s="2" t="s">
        <v>17</v>
      </c>
      <c r="D735">
        <v>71.709999999999994</v>
      </c>
      <c r="E735">
        <v>111</v>
      </c>
      <c r="F735">
        <v>7959.8099999999995</v>
      </c>
    </row>
    <row r="736" spans="1:6" x14ac:dyDescent="0.25">
      <c r="A736">
        <v>735</v>
      </c>
      <c r="B736" s="1">
        <v>45669</v>
      </c>
      <c r="C736" s="2" t="s">
        <v>20</v>
      </c>
      <c r="D736">
        <v>84.6</v>
      </c>
      <c r="E736">
        <v>82</v>
      </c>
      <c r="F736">
        <v>6937.2</v>
      </c>
    </row>
    <row r="737" spans="1:6" x14ac:dyDescent="0.25">
      <c r="A737">
        <v>736</v>
      </c>
      <c r="B737" s="1">
        <v>45720</v>
      </c>
      <c r="C737" s="2" t="s">
        <v>13</v>
      </c>
      <c r="D737">
        <v>38.270000000000003</v>
      </c>
      <c r="E737">
        <v>133</v>
      </c>
      <c r="F737">
        <v>5089.9100000000008</v>
      </c>
    </row>
    <row r="738" spans="1:6" x14ac:dyDescent="0.25">
      <c r="A738">
        <v>737</v>
      </c>
      <c r="B738" s="1">
        <v>45733</v>
      </c>
      <c r="C738" s="2" t="s">
        <v>6</v>
      </c>
      <c r="D738">
        <v>53.67</v>
      </c>
      <c r="E738">
        <v>39</v>
      </c>
      <c r="F738">
        <v>2093.13</v>
      </c>
    </row>
    <row r="739" spans="1:6" x14ac:dyDescent="0.25">
      <c r="A739">
        <v>738</v>
      </c>
      <c r="B739" s="1">
        <v>45788</v>
      </c>
      <c r="C739" s="2" t="s">
        <v>17</v>
      </c>
      <c r="D739">
        <v>114.25</v>
      </c>
      <c r="E739">
        <v>83</v>
      </c>
      <c r="F739">
        <v>9482.75</v>
      </c>
    </row>
    <row r="740" spans="1:6" x14ac:dyDescent="0.25">
      <c r="A740">
        <v>739</v>
      </c>
      <c r="B740" s="1">
        <v>45820</v>
      </c>
      <c r="C740" s="2" t="s">
        <v>24</v>
      </c>
      <c r="D740">
        <v>79.36</v>
      </c>
      <c r="E740">
        <v>156</v>
      </c>
      <c r="F740">
        <v>12380.16</v>
      </c>
    </row>
    <row r="741" spans="1:6" x14ac:dyDescent="0.25">
      <c r="A741">
        <v>740</v>
      </c>
      <c r="B741" s="1">
        <v>45675</v>
      </c>
      <c r="C741" s="2" t="s">
        <v>30</v>
      </c>
      <c r="D741">
        <v>81.23</v>
      </c>
      <c r="E741">
        <v>90</v>
      </c>
      <c r="F741">
        <v>7310.7000000000007</v>
      </c>
    </row>
    <row r="742" spans="1:6" x14ac:dyDescent="0.25">
      <c r="A742">
        <v>741</v>
      </c>
      <c r="B742" s="1">
        <v>45826</v>
      </c>
      <c r="C742" s="2" t="s">
        <v>18</v>
      </c>
      <c r="D742">
        <v>55.49</v>
      </c>
      <c r="E742">
        <v>62</v>
      </c>
      <c r="F742">
        <v>3440.38</v>
      </c>
    </row>
    <row r="743" spans="1:6" x14ac:dyDescent="0.25">
      <c r="A743">
        <v>742</v>
      </c>
      <c r="B743" s="1">
        <v>45822</v>
      </c>
      <c r="C743" s="2" t="s">
        <v>12</v>
      </c>
      <c r="D743">
        <v>37.130000000000003</v>
      </c>
      <c r="E743">
        <v>195</v>
      </c>
      <c r="F743">
        <v>7240.35</v>
      </c>
    </row>
    <row r="744" spans="1:6" x14ac:dyDescent="0.25">
      <c r="A744">
        <v>743</v>
      </c>
      <c r="B744" s="1">
        <v>45775</v>
      </c>
      <c r="C744" s="2" t="s">
        <v>14</v>
      </c>
      <c r="D744">
        <v>61.72</v>
      </c>
      <c r="E744">
        <v>191</v>
      </c>
      <c r="F744">
        <v>11788.52</v>
      </c>
    </row>
    <row r="745" spans="1:6" x14ac:dyDescent="0.25">
      <c r="A745">
        <v>744</v>
      </c>
      <c r="B745" s="1">
        <v>45757</v>
      </c>
      <c r="C745" s="2" t="s">
        <v>17</v>
      </c>
      <c r="D745">
        <v>14.92</v>
      </c>
      <c r="E745">
        <v>103</v>
      </c>
      <c r="F745">
        <v>1536.76</v>
      </c>
    </row>
    <row r="746" spans="1:6" x14ac:dyDescent="0.25">
      <c r="A746">
        <v>745</v>
      </c>
      <c r="B746" s="1">
        <v>45698</v>
      </c>
      <c r="C746" s="2" t="s">
        <v>12</v>
      </c>
      <c r="D746">
        <v>76.97</v>
      </c>
      <c r="E746">
        <v>97</v>
      </c>
      <c r="F746">
        <v>7466.09</v>
      </c>
    </row>
    <row r="747" spans="1:6" x14ac:dyDescent="0.25">
      <c r="A747">
        <v>746</v>
      </c>
      <c r="B747" s="1">
        <v>45755</v>
      </c>
      <c r="C747" s="2" t="s">
        <v>12</v>
      </c>
      <c r="D747">
        <v>128.47</v>
      </c>
      <c r="E747">
        <v>163</v>
      </c>
      <c r="F747">
        <v>20940.61</v>
      </c>
    </row>
    <row r="748" spans="1:6" x14ac:dyDescent="0.25">
      <c r="A748">
        <v>747</v>
      </c>
      <c r="B748" s="1">
        <v>45798</v>
      </c>
      <c r="C748" s="2" t="s">
        <v>16</v>
      </c>
      <c r="D748">
        <v>95.41</v>
      </c>
      <c r="E748">
        <v>127</v>
      </c>
      <c r="F748">
        <v>12117.07</v>
      </c>
    </row>
    <row r="749" spans="1:6" x14ac:dyDescent="0.25">
      <c r="A749">
        <v>748</v>
      </c>
      <c r="B749" s="1">
        <v>45826</v>
      </c>
      <c r="C749" s="2" t="s">
        <v>9</v>
      </c>
      <c r="D749">
        <v>46.28</v>
      </c>
      <c r="E749">
        <v>44</v>
      </c>
      <c r="F749">
        <v>2036.3200000000002</v>
      </c>
    </row>
    <row r="750" spans="1:6" x14ac:dyDescent="0.25">
      <c r="A750">
        <v>749</v>
      </c>
      <c r="B750" s="1">
        <v>45725</v>
      </c>
      <c r="C750" s="2" t="s">
        <v>19</v>
      </c>
      <c r="D750">
        <v>53.37</v>
      </c>
      <c r="E750">
        <v>147</v>
      </c>
      <c r="F750">
        <v>7845.3899999999994</v>
      </c>
    </row>
    <row r="751" spans="1:6" x14ac:dyDescent="0.25">
      <c r="A751">
        <v>750</v>
      </c>
      <c r="B751" s="1">
        <v>45680</v>
      </c>
      <c r="C751" s="2" t="s">
        <v>8</v>
      </c>
      <c r="D751">
        <v>72.400000000000006</v>
      </c>
      <c r="E751">
        <v>122</v>
      </c>
      <c r="F751">
        <v>8832.8000000000011</v>
      </c>
    </row>
    <row r="752" spans="1:6" x14ac:dyDescent="0.25">
      <c r="A752">
        <v>751</v>
      </c>
      <c r="B752" s="1">
        <v>45762</v>
      </c>
      <c r="C752" s="2" t="s">
        <v>19</v>
      </c>
      <c r="D752">
        <v>107.35</v>
      </c>
      <c r="E752">
        <v>135</v>
      </c>
      <c r="F752">
        <v>14492.25</v>
      </c>
    </row>
    <row r="753" spans="1:6" x14ac:dyDescent="0.25">
      <c r="A753">
        <v>752</v>
      </c>
      <c r="B753" s="1">
        <v>45802</v>
      </c>
      <c r="C753" s="2" t="s">
        <v>21</v>
      </c>
      <c r="D753">
        <v>44.15</v>
      </c>
      <c r="E753">
        <v>103</v>
      </c>
      <c r="F753">
        <v>4547.45</v>
      </c>
    </row>
    <row r="754" spans="1:6" x14ac:dyDescent="0.25">
      <c r="A754">
        <v>753</v>
      </c>
      <c r="B754" s="1">
        <v>45835</v>
      </c>
      <c r="C754" s="2" t="s">
        <v>13</v>
      </c>
      <c r="D754">
        <v>81.239999999999995</v>
      </c>
      <c r="E754">
        <v>66</v>
      </c>
      <c r="F754">
        <v>5361.8399999999992</v>
      </c>
    </row>
    <row r="755" spans="1:6" x14ac:dyDescent="0.25">
      <c r="A755">
        <v>754</v>
      </c>
      <c r="B755" s="1">
        <v>45810</v>
      </c>
      <c r="C755" s="2" t="s">
        <v>25</v>
      </c>
      <c r="D755">
        <v>69.040000000000006</v>
      </c>
      <c r="E755">
        <v>114</v>
      </c>
      <c r="F755">
        <v>7870.56</v>
      </c>
    </row>
    <row r="756" spans="1:6" x14ac:dyDescent="0.25">
      <c r="A756">
        <v>755</v>
      </c>
      <c r="B756" s="1">
        <v>45792</v>
      </c>
      <c r="C756" s="2" t="s">
        <v>21</v>
      </c>
      <c r="D756">
        <v>121</v>
      </c>
      <c r="E756">
        <v>58</v>
      </c>
      <c r="F756">
        <v>7018</v>
      </c>
    </row>
    <row r="757" spans="1:6" x14ac:dyDescent="0.25">
      <c r="A757">
        <v>756</v>
      </c>
      <c r="B757" s="1">
        <v>45810</v>
      </c>
      <c r="C757" s="2" t="s">
        <v>26</v>
      </c>
      <c r="D757">
        <v>30.09</v>
      </c>
      <c r="E757">
        <v>53</v>
      </c>
      <c r="F757">
        <v>1594.77</v>
      </c>
    </row>
    <row r="758" spans="1:6" x14ac:dyDescent="0.25">
      <c r="A758">
        <v>757</v>
      </c>
      <c r="B758" s="1">
        <v>45773</v>
      </c>
      <c r="C758" s="2" t="s">
        <v>10</v>
      </c>
      <c r="D758">
        <v>113.54</v>
      </c>
      <c r="E758">
        <v>60</v>
      </c>
      <c r="F758">
        <v>6812.4000000000005</v>
      </c>
    </row>
    <row r="759" spans="1:6" x14ac:dyDescent="0.25">
      <c r="A759">
        <v>758</v>
      </c>
      <c r="B759" s="1">
        <v>45780</v>
      </c>
      <c r="C759" s="2" t="s">
        <v>30</v>
      </c>
      <c r="D759">
        <v>39.4</v>
      </c>
      <c r="E759">
        <v>59</v>
      </c>
      <c r="F759">
        <v>2324.6</v>
      </c>
    </row>
    <row r="760" spans="1:6" x14ac:dyDescent="0.25">
      <c r="A760">
        <v>759</v>
      </c>
      <c r="B760" s="1">
        <v>45720</v>
      </c>
      <c r="C760" s="2" t="s">
        <v>7</v>
      </c>
      <c r="D760">
        <v>27.23</v>
      </c>
      <c r="E760">
        <v>125</v>
      </c>
      <c r="F760">
        <v>3403.75</v>
      </c>
    </row>
    <row r="761" spans="1:6" x14ac:dyDescent="0.25">
      <c r="A761">
        <v>760</v>
      </c>
      <c r="B761" s="1">
        <v>45808</v>
      </c>
      <c r="C761" s="2" t="s">
        <v>14</v>
      </c>
      <c r="D761">
        <v>10.14</v>
      </c>
      <c r="E761">
        <v>128</v>
      </c>
      <c r="F761">
        <v>1297.92</v>
      </c>
    </row>
    <row r="762" spans="1:6" x14ac:dyDescent="0.25">
      <c r="A762">
        <v>761</v>
      </c>
      <c r="B762" s="1">
        <v>45748</v>
      </c>
      <c r="C762" s="2" t="s">
        <v>24</v>
      </c>
      <c r="D762">
        <v>72.55</v>
      </c>
      <c r="E762">
        <v>62</v>
      </c>
      <c r="F762">
        <v>4498.0999999999995</v>
      </c>
    </row>
    <row r="763" spans="1:6" x14ac:dyDescent="0.25">
      <c r="A763">
        <v>762</v>
      </c>
      <c r="B763" s="1">
        <v>45667</v>
      </c>
      <c r="C763" s="2" t="s">
        <v>21</v>
      </c>
      <c r="D763">
        <v>144.86000000000001</v>
      </c>
      <c r="E763">
        <v>71</v>
      </c>
      <c r="F763">
        <v>10285.060000000001</v>
      </c>
    </row>
    <row r="764" spans="1:6" x14ac:dyDescent="0.25">
      <c r="A764">
        <v>763</v>
      </c>
      <c r="B764" s="1">
        <v>45826</v>
      </c>
      <c r="C764" s="2" t="s">
        <v>29</v>
      </c>
      <c r="D764">
        <v>50.99</v>
      </c>
      <c r="E764">
        <v>73</v>
      </c>
      <c r="F764">
        <v>3722.27</v>
      </c>
    </row>
    <row r="765" spans="1:6" x14ac:dyDescent="0.25">
      <c r="A765">
        <v>764</v>
      </c>
      <c r="B765" s="1">
        <v>45821</v>
      </c>
      <c r="C765" s="2" t="s">
        <v>18</v>
      </c>
      <c r="D765">
        <v>11.75</v>
      </c>
      <c r="E765">
        <v>20</v>
      </c>
      <c r="F765">
        <v>235</v>
      </c>
    </row>
    <row r="766" spans="1:6" x14ac:dyDescent="0.25">
      <c r="A766">
        <v>765</v>
      </c>
      <c r="B766" s="1">
        <v>45697</v>
      </c>
      <c r="C766" s="2" t="s">
        <v>21</v>
      </c>
      <c r="D766">
        <v>87.74</v>
      </c>
      <c r="E766">
        <v>50</v>
      </c>
      <c r="F766">
        <v>4387</v>
      </c>
    </row>
    <row r="767" spans="1:6" x14ac:dyDescent="0.25">
      <c r="A767">
        <v>766</v>
      </c>
      <c r="B767" s="1">
        <v>45754</v>
      </c>
      <c r="C767" s="2" t="s">
        <v>21</v>
      </c>
      <c r="D767">
        <v>28.05</v>
      </c>
      <c r="E767">
        <v>195</v>
      </c>
      <c r="F767">
        <v>5469.75</v>
      </c>
    </row>
    <row r="768" spans="1:6" x14ac:dyDescent="0.25">
      <c r="A768">
        <v>767</v>
      </c>
      <c r="B768" s="1">
        <v>45698</v>
      </c>
      <c r="C768" s="2" t="s">
        <v>17</v>
      </c>
      <c r="D768">
        <v>120.77</v>
      </c>
      <c r="E768">
        <v>22</v>
      </c>
      <c r="F768">
        <v>2656.94</v>
      </c>
    </row>
    <row r="769" spans="1:6" x14ac:dyDescent="0.25">
      <c r="A769">
        <v>768</v>
      </c>
      <c r="B769" s="1">
        <v>45691</v>
      </c>
      <c r="C769" s="2" t="s">
        <v>14</v>
      </c>
      <c r="D769">
        <v>60.33</v>
      </c>
      <c r="E769">
        <v>160</v>
      </c>
      <c r="F769">
        <v>9652.7999999999993</v>
      </c>
    </row>
    <row r="770" spans="1:6" x14ac:dyDescent="0.25">
      <c r="A770">
        <v>769</v>
      </c>
      <c r="B770" s="1">
        <v>45682</v>
      </c>
      <c r="C770" s="2" t="s">
        <v>7</v>
      </c>
      <c r="D770">
        <v>25.35</v>
      </c>
      <c r="E770">
        <v>194</v>
      </c>
      <c r="F770">
        <v>4917.9000000000005</v>
      </c>
    </row>
    <row r="771" spans="1:6" x14ac:dyDescent="0.25">
      <c r="A771">
        <v>770</v>
      </c>
      <c r="B771" s="1">
        <v>45674</v>
      </c>
      <c r="C771" s="2" t="s">
        <v>17</v>
      </c>
      <c r="D771">
        <v>72.72</v>
      </c>
      <c r="E771">
        <v>84</v>
      </c>
      <c r="F771">
        <v>6108.48</v>
      </c>
    </row>
    <row r="772" spans="1:6" x14ac:dyDescent="0.25">
      <c r="A772">
        <v>771</v>
      </c>
      <c r="B772" s="1">
        <v>45661</v>
      </c>
      <c r="C772" s="2" t="s">
        <v>21</v>
      </c>
      <c r="D772">
        <v>67.180000000000007</v>
      </c>
      <c r="E772">
        <v>212</v>
      </c>
      <c r="F772">
        <v>14242.160000000002</v>
      </c>
    </row>
    <row r="773" spans="1:6" x14ac:dyDescent="0.25">
      <c r="A773">
        <v>772</v>
      </c>
      <c r="B773" s="1">
        <v>45792</v>
      </c>
      <c r="C773" s="2" t="s">
        <v>6</v>
      </c>
      <c r="D773">
        <v>90.05</v>
      </c>
      <c r="E773">
        <v>102</v>
      </c>
      <c r="F773">
        <v>9185.1</v>
      </c>
    </row>
    <row r="774" spans="1:6" x14ac:dyDescent="0.25">
      <c r="A774">
        <v>773</v>
      </c>
      <c r="B774" s="1">
        <v>45807</v>
      </c>
      <c r="C774" s="2" t="s">
        <v>15</v>
      </c>
      <c r="D774">
        <v>86.61</v>
      </c>
      <c r="E774">
        <v>54</v>
      </c>
      <c r="F774">
        <v>4676.9399999999996</v>
      </c>
    </row>
    <row r="775" spans="1:6" x14ac:dyDescent="0.25">
      <c r="A775">
        <v>774</v>
      </c>
      <c r="B775" s="1">
        <v>45692</v>
      </c>
      <c r="C775" s="2" t="s">
        <v>8</v>
      </c>
      <c r="D775">
        <v>29.9</v>
      </c>
      <c r="E775">
        <v>41</v>
      </c>
      <c r="F775">
        <v>1225.8999999999999</v>
      </c>
    </row>
    <row r="776" spans="1:6" x14ac:dyDescent="0.25">
      <c r="A776">
        <v>775</v>
      </c>
      <c r="B776" s="1">
        <v>45754</v>
      </c>
      <c r="C776" s="2" t="s">
        <v>29</v>
      </c>
      <c r="D776">
        <v>87.16</v>
      </c>
      <c r="E776">
        <v>22</v>
      </c>
      <c r="F776">
        <v>1917.52</v>
      </c>
    </row>
    <row r="777" spans="1:6" x14ac:dyDescent="0.25">
      <c r="A777">
        <v>776</v>
      </c>
      <c r="B777" s="1">
        <v>45736</v>
      </c>
      <c r="C777" s="2" t="s">
        <v>30</v>
      </c>
      <c r="D777">
        <v>57.87</v>
      </c>
      <c r="E777">
        <v>119</v>
      </c>
      <c r="F777">
        <v>6886.53</v>
      </c>
    </row>
    <row r="778" spans="1:6" x14ac:dyDescent="0.25">
      <c r="A778">
        <v>777</v>
      </c>
      <c r="B778" s="1">
        <v>45711</v>
      </c>
      <c r="C778" s="2" t="s">
        <v>30</v>
      </c>
      <c r="D778">
        <v>41.35</v>
      </c>
      <c r="E778">
        <v>165</v>
      </c>
      <c r="F778">
        <v>6822.75</v>
      </c>
    </row>
    <row r="779" spans="1:6" x14ac:dyDescent="0.25">
      <c r="A779">
        <v>778</v>
      </c>
      <c r="B779" s="1">
        <v>45762</v>
      </c>
      <c r="C779" s="2" t="s">
        <v>16</v>
      </c>
      <c r="D779">
        <v>115.98</v>
      </c>
      <c r="E779">
        <v>35</v>
      </c>
      <c r="F779">
        <v>4059.3</v>
      </c>
    </row>
    <row r="780" spans="1:6" x14ac:dyDescent="0.25">
      <c r="A780">
        <v>779</v>
      </c>
      <c r="B780" s="1">
        <v>45799</v>
      </c>
      <c r="C780" s="2" t="s">
        <v>25</v>
      </c>
      <c r="D780">
        <v>95.56</v>
      </c>
      <c r="E780">
        <v>40</v>
      </c>
      <c r="F780">
        <v>3822.4</v>
      </c>
    </row>
    <row r="781" spans="1:6" x14ac:dyDescent="0.25">
      <c r="A781">
        <v>780</v>
      </c>
      <c r="B781" s="1">
        <v>45669</v>
      </c>
      <c r="C781" s="2" t="s">
        <v>15</v>
      </c>
      <c r="D781">
        <v>110.22</v>
      </c>
      <c r="E781">
        <v>159</v>
      </c>
      <c r="F781">
        <v>17524.98</v>
      </c>
    </row>
    <row r="782" spans="1:6" x14ac:dyDescent="0.25">
      <c r="A782">
        <v>781</v>
      </c>
      <c r="B782" s="1">
        <v>45662</v>
      </c>
      <c r="C782" s="2" t="s">
        <v>14</v>
      </c>
      <c r="D782">
        <v>17.77</v>
      </c>
      <c r="E782">
        <v>161</v>
      </c>
      <c r="F782">
        <v>2860.97</v>
      </c>
    </row>
    <row r="783" spans="1:6" x14ac:dyDescent="0.25">
      <c r="A783">
        <v>782</v>
      </c>
      <c r="B783" s="1">
        <v>45688</v>
      </c>
      <c r="C783" s="2" t="s">
        <v>21</v>
      </c>
      <c r="D783">
        <v>13.6</v>
      </c>
      <c r="E783">
        <v>117</v>
      </c>
      <c r="F783">
        <v>1591.2</v>
      </c>
    </row>
    <row r="784" spans="1:6" x14ac:dyDescent="0.25">
      <c r="A784">
        <v>783</v>
      </c>
      <c r="B784" s="1">
        <v>45769</v>
      </c>
      <c r="C784" s="2" t="s">
        <v>9</v>
      </c>
      <c r="D784">
        <v>62.24</v>
      </c>
      <c r="E784">
        <v>193</v>
      </c>
      <c r="F784">
        <v>12012.32</v>
      </c>
    </row>
    <row r="785" spans="1:6" x14ac:dyDescent="0.25">
      <c r="A785">
        <v>784</v>
      </c>
      <c r="B785" s="1">
        <v>45698</v>
      </c>
      <c r="C785" s="2" t="s">
        <v>26</v>
      </c>
      <c r="D785">
        <v>16.95</v>
      </c>
      <c r="E785">
        <v>47</v>
      </c>
      <c r="F785">
        <v>796.65</v>
      </c>
    </row>
    <row r="786" spans="1:6" x14ac:dyDescent="0.25">
      <c r="A786">
        <v>785</v>
      </c>
      <c r="B786" s="1">
        <v>45710</v>
      </c>
      <c r="C786" s="2" t="s">
        <v>11</v>
      </c>
      <c r="D786">
        <v>19.05</v>
      </c>
      <c r="E786">
        <v>144</v>
      </c>
      <c r="F786">
        <v>2743.2000000000003</v>
      </c>
    </row>
    <row r="787" spans="1:6" x14ac:dyDescent="0.25">
      <c r="A787">
        <v>786</v>
      </c>
      <c r="B787" s="1">
        <v>45792</v>
      </c>
      <c r="C787" s="2" t="s">
        <v>11</v>
      </c>
      <c r="D787">
        <v>99.2</v>
      </c>
      <c r="E787">
        <v>34</v>
      </c>
      <c r="F787">
        <v>3372.8</v>
      </c>
    </row>
    <row r="788" spans="1:6" x14ac:dyDescent="0.25">
      <c r="A788">
        <v>787</v>
      </c>
      <c r="B788" s="1">
        <v>45799</v>
      </c>
      <c r="C788" s="2" t="s">
        <v>18</v>
      </c>
      <c r="D788">
        <v>42.31</v>
      </c>
      <c r="E788">
        <v>98</v>
      </c>
      <c r="F788">
        <v>4146.38</v>
      </c>
    </row>
    <row r="789" spans="1:6" x14ac:dyDescent="0.25">
      <c r="A789">
        <v>788</v>
      </c>
      <c r="B789" s="1">
        <v>45743</v>
      </c>
      <c r="C789" s="2" t="s">
        <v>22</v>
      </c>
      <c r="D789">
        <v>11.67</v>
      </c>
      <c r="E789">
        <v>49</v>
      </c>
      <c r="F789">
        <v>571.83000000000004</v>
      </c>
    </row>
    <row r="790" spans="1:6" x14ac:dyDescent="0.25">
      <c r="A790">
        <v>789</v>
      </c>
      <c r="B790" s="1">
        <v>45816</v>
      </c>
      <c r="C790" s="2" t="s">
        <v>23</v>
      </c>
      <c r="D790">
        <v>143.35</v>
      </c>
      <c r="E790">
        <v>127</v>
      </c>
      <c r="F790">
        <v>18205.45</v>
      </c>
    </row>
    <row r="791" spans="1:6" x14ac:dyDescent="0.25">
      <c r="A791">
        <v>790</v>
      </c>
      <c r="B791" s="1">
        <v>45708</v>
      </c>
      <c r="C791" s="2" t="s">
        <v>20</v>
      </c>
      <c r="D791">
        <v>117.58</v>
      </c>
      <c r="E791">
        <v>111</v>
      </c>
      <c r="F791">
        <v>13051.38</v>
      </c>
    </row>
    <row r="792" spans="1:6" x14ac:dyDescent="0.25">
      <c r="A792">
        <v>791</v>
      </c>
      <c r="B792" s="1">
        <v>45680</v>
      </c>
      <c r="C792" s="2" t="s">
        <v>25</v>
      </c>
      <c r="D792">
        <v>101.24</v>
      </c>
      <c r="E792">
        <v>81</v>
      </c>
      <c r="F792">
        <v>8200.4399999999987</v>
      </c>
    </row>
    <row r="793" spans="1:6" x14ac:dyDescent="0.25">
      <c r="A793">
        <v>792</v>
      </c>
      <c r="B793" s="1">
        <v>45714</v>
      </c>
      <c r="C793" s="2" t="s">
        <v>25</v>
      </c>
      <c r="D793">
        <v>73.09</v>
      </c>
      <c r="E793">
        <v>82</v>
      </c>
      <c r="F793">
        <v>5993.38</v>
      </c>
    </row>
    <row r="794" spans="1:6" x14ac:dyDescent="0.25">
      <c r="A794">
        <v>793</v>
      </c>
      <c r="B794" s="1">
        <v>45813</v>
      </c>
      <c r="C794" s="2" t="s">
        <v>25</v>
      </c>
      <c r="D794">
        <v>53.8</v>
      </c>
      <c r="E794">
        <v>131</v>
      </c>
      <c r="F794">
        <v>7047.7999999999993</v>
      </c>
    </row>
    <row r="795" spans="1:6" x14ac:dyDescent="0.25">
      <c r="A795">
        <v>794</v>
      </c>
      <c r="B795" s="1">
        <v>45804</v>
      </c>
      <c r="C795" s="2" t="s">
        <v>9</v>
      </c>
      <c r="D795">
        <v>113.6</v>
      </c>
      <c r="E795">
        <v>76</v>
      </c>
      <c r="F795">
        <v>8633.6</v>
      </c>
    </row>
    <row r="796" spans="1:6" x14ac:dyDescent="0.25">
      <c r="A796">
        <v>795</v>
      </c>
      <c r="B796" s="1">
        <v>45829</v>
      </c>
      <c r="C796" s="2" t="s">
        <v>14</v>
      </c>
      <c r="D796">
        <v>71.040000000000006</v>
      </c>
      <c r="E796">
        <v>23</v>
      </c>
      <c r="F796">
        <v>1633.92</v>
      </c>
    </row>
    <row r="797" spans="1:6" x14ac:dyDescent="0.25">
      <c r="A797">
        <v>796</v>
      </c>
      <c r="B797" s="1">
        <v>45744</v>
      </c>
      <c r="C797" s="2" t="s">
        <v>14</v>
      </c>
      <c r="D797">
        <v>60.94</v>
      </c>
      <c r="E797">
        <v>93</v>
      </c>
      <c r="F797">
        <v>5667.42</v>
      </c>
    </row>
    <row r="798" spans="1:6" x14ac:dyDescent="0.25">
      <c r="A798">
        <v>797</v>
      </c>
      <c r="B798" s="1">
        <v>45712</v>
      </c>
      <c r="C798" s="2" t="s">
        <v>29</v>
      </c>
      <c r="D798">
        <v>62.83</v>
      </c>
      <c r="E798">
        <v>74</v>
      </c>
      <c r="F798">
        <v>4649.42</v>
      </c>
    </row>
    <row r="799" spans="1:6" x14ac:dyDescent="0.25">
      <c r="A799">
        <v>798</v>
      </c>
      <c r="B799" s="1">
        <v>45717</v>
      </c>
      <c r="C799" s="2" t="s">
        <v>28</v>
      </c>
      <c r="D799">
        <v>76.16</v>
      </c>
      <c r="E799">
        <v>70</v>
      </c>
      <c r="F799">
        <v>5331.2</v>
      </c>
    </row>
    <row r="800" spans="1:6" x14ac:dyDescent="0.25">
      <c r="A800">
        <v>799</v>
      </c>
      <c r="B800" s="1">
        <v>45700</v>
      </c>
      <c r="C800" s="2" t="s">
        <v>10</v>
      </c>
      <c r="D800">
        <v>102.49</v>
      </c>
      <c r="E800">
        <v>157</v>
      </c>
      <c r="F800">
        <v>16090.929999999998</v>
      </c>
    </row>
    <row r="801" spans="1:6" x14ac:dyDescent="0.25">
      <c r="A801">
        <v>800</v>
      </c>
      <c r="B801" s="1">
        <v>45725</v>
      </c>
      <c r="C801" s="2" t="s">
        <v>29</v>
      </c>
      <c r="D801">
        <v>14.17</v>
      </c>
      <c r="E801">
        <v>60</v>
      </c>
      <c r="F801">
        <v>850.2</v>
      </c>
    </row>
    <row r="802" spans="1:6" x14ac:dyDescent="0.25">
      <c r="A802">
        <v>801</v>
      </c>
      <c r="B802" s="1">
        <v>45814</v>
      </c>
      <c r="C802" s="2" t="s">
        <v>7</v>
      </c>
      <c r="D802">
        <v>31.22</v>
      </c>
      <c r="E802">
        <v>160</v>
      </c>
      <c r="F802">
        <v>4995.2</v>
      </c>
    </row>
    <row r="803" spans="1:6" x14ac:dyDescent="0.25">
      <c r="A803">
        <v>802</v>
      </c>
      <c r="B803" s="1">
        <v>45753</v>
      </c>
      <c r="C803" s="2" t="s">
        <v>24</v>
      </c>
      <c r="D803">
        <v>33.33</v>
      </c>
      <c r="E803">
        <v>144</v>
      </c>
      <c r="F803">
        <v>4799.5199999999995</v>
      </c>
    </row>
    <row r="804" spans="1:6" x14ac:dyDescent="0.25">
      <c r="A804">
        <v>803</v>
      </c>
      <c r="B804" s="1">
        <v>45786</v>
      </c>
      <c r="C804" s="2" t="s">
        <v>12</v>
      </c>
      <c r="D804">
        <v>55.54</v>
      </c>
      <c r="E804">
        <v>88</v>
      </c>
      <c r="F804">
        <v>4887.5199999999995</v>
      </c>
    </row>
    <row r="805" spans="1:6" x14ac:dyDescent="0.25">
      <c r="A805">
        <v>804</v>
      </c>
      <c r="B805" s="1">
        <v>45778</v>
      </c>
      <c r="C805" s="2" t="s">
        <v>22</v>
      </c>
      <c r="D805">
        <v>24.01</v>
      </c>
      <c r="E805">
        <v>156</v>
      </c>
      <c r="F805">
        <v>3745.5600000000004</v>
      </c>
    </row>
    <row r="806" spans="1:6" x14ac:dyDescent="0.25">
      <c r="A806">
        <v>805</v>
      </c>
      <c r="B806" s="1">
        <v>45762</v>
      </c>
      <c r="C806" s="2" t="s">
        <v>9</v>
      </c>
      <c r="D806">
        <v>75.319999999999993</v>
      </c>
      <c r="E806">
        <v>115</v>
      </c>
      <c r="F806">
        <v>8661.7999999999993</v>
      </c>
    </row>
    <row r="807" spans="1:6" x14ac:dyDescent="0.25">
      <c r="A807">
        <v>806</v>
      </c>
      <c r="B807" s="1">
        <v>45741</v>
      </c>
      <c r="C807" s="2" t="s">
        <v>7</v>
      </c>
      <c r="D807">
        <v>32.200000000000003</v>
      </c>
      <c r="E807">
        <v>52</v>
      </c>
      <c r="F807">
        <v>1674.4</v>
      </c>
    </row>
    <row r="808" spans="1:6" x14ac:dyDescent="0.25">
      <c r="A808">
        <v>807</v>
      </c>
      <c r="B808" s="1">
        <v>45807</v>
      </c>
      <c r="C808" s="2" t="s">
        <v>20</v>
      </c>
      <c r="D808">
        <v>20.28</v>
      </c>
      <c r="E808">
        <v>91</v>
      </c>
      <c r="F808">
        <v>1845.48</v>
      </c>
    </row>
    <row r="809" spans="1:6" x14ac:dyDescent="0.25">
      <c r="A809">
        <v>808</v>
      </c>
      <c r="B809" s="1">
        <v>45707</v>
      </c>
      <c r="C809" s="2" t="s">
        <v>12</v>
      </c>
      <c r="D809">
        <v>88.47</v>
      </c>
      <c r="E809">
        <v>126</v>
      </c>
      <c r="F809">
        <v>11147.22</v>
      </c>
    </row>
    <row r="810" spans="1:6" x14ac:dyDescent="0.25">
      <c r="A810">
        <v>809</v>
      </c>
      <c r="B810" s="1">
        <v>45687</v>
      </c>
      <c r="C810" s="2" t="s">
        <v>29</v>
      </c>
      <c r="D810">
        <v>78.31</v>
      </c>
      <c r="E810">
        <v>23</v>
      </c>
      <c r="F810">
        <v>1801.13</v>
      </c>
    </row>
    <row r="811" spans="1:6" x14ac:dyDescent="0.25">
      <c r="A811">
        <v>810</v>
      </c>
      <c r="B811" s="1">
        <v>45783</v>
      </c>
      <c r="C811" s="2" t="s">
        <v>26</v>
      </c>
      <c r="D811">
        <v>55.92</v>
      </c>
      <c r="E811">
        <v>112</v>
      </c>
      <c r="F811">
        <v>6263.04</v>
      </c>
    </row>
    <row r="812" spans="1:6" x14ac:dyDescent="0.25">
      <c r="A812">
        <v>811</v>
      </c>
      <c r="B812" s="1">
        <v>45745</v>
      </c>
      <c r="C812" s="2" t="s">
        <v>11</v>
      </c>
      <c r="D812">
        <v>80.83</v>
      </c>
      <c r="E812">
        <v>193</v>
      </c>
      <c r="F812">
        <v>15600.19</v>
      </c>
    </row>
    <row r="813" spans="1:6" x14ac:dyDescent="0.25">
      <c r="A813">
        <v>812</v>
      </c>
      <c r="B813" s="1">
        <v>45795</v>
      </c>
      <c r="C813" s="2" t="s">
        <v>11</v>
      </c>
      <c r="D813">
        <v>28.17</v>
      </c>
      <c r="E813">
        <v>110</v>
      </c>
      <c r="F813">
        <v>3098.7000000000003</v>
      </c>
    </row>
    <row r="814" spans="1:6" x14ac:dyDescent="0.25">
      <c r="A814">
        <v>813</v>
      </c>
      <c r="B814" s="1">
        <v>45819</v>
      </c>
      <c r="C814" s="2" t="s">
        <v>17</v>
      </c>
      <c r="D814">
        <v>88</v>
      </c>
      <c r="E814">
        <v>161</v>
      </c>
      <c r="F814">
        <v>14168</v>
      </c>
    </row>
    <row r="815" spans="1:6" x14ac:dyDescent="0.25">
      <c r="A815">
        <v>814</v>
      </c>
      <c r="B815" s="1">
        <v>45806</v>
      </c>
      <c r="C815" s="2" t="s">
        <v>23</v>
      </c>
      <c r="D815">
        <v>58.75</v>
      </c>
      <c r="E815">
        <v>156</v>
      </c>
      <c r="F815">
        <v>9165</v>
      </c>
    </row>
    <row r="816" spans="1:6" x14ac:dyDescent="0.25">
      <c r="A816">
        <v>815</v>
      </c>
      <c r="B816" s="1">
        <v>45659</v>
      </c>
      <c r="C816" s="2" t="s">
        <v>30</v>
      </c>
      <c r="D816">
        <v>64.83</v>
      </c>
      <c r="E816">
        <v>107</v>
      </c>
      <c r="F816">
        <v>6936.8099999999995</v>
      </c>
    </row>
    <row r="817" spans="1:6" x14ac:dyDescent="0.25">
      <c r="A817">
        <v>816</v>
      </c>
      <c r="B817" s="1">
        <v>45732</v>
      </c>
      <c r="C817" s="2" t="s">
        <v>8</v>
      </c>
      <c r="D817">
        <v>36.15</v>
      </c>
      <c r="E817">
        <v>184</v>
      </c>
      <c r="F817">
        <v>6651.5999999999995</v>
      </c>
    </row>
    <row r="818" spans="1:6" x14ac:dyDescent="0.25">
      <c r="A818">
        <v>817</v>
      </c>
      <c r="B818" s="1">
        <v>45767</v>
      </c>
      <c r="C818" s="2" t="s">
        <v>14</v>
      </c>
      <c r="D818">
        <v>101.71</v>
      </c>
      <c r="E818">
        <v>207</v>
      </c>
      <c r="F818">
        <v>21053.969999999998</v>
      </c>
    </row>
    <row r="819" spans="1:6" x14ac:dyDescent="0.25">
      <c r="A819">
        <v>818</v>
      </c>
      <c r="B819" s="1">
        <v>45834</v>
      </c>
      <c r="C819" s="2" t="s">
        <v>24</v>
      </c>
      <c r="D819">
        <v>60.88</v>
      </c>
      <c r="E819">
        <v>32</v>
      </c>
      <c r="F819">
        <v>1948.16</v>
      </c>
    </row>
    <row r="820" spans="1:6" x14ac:dyDescent="0.25">
      <c r="A820">
        <v>819</v>
      </c>
      <c r="B820" s="1">
        <v>45813</v>
      </c>
      <c r="C820" s="2" t="s">
        <v>25</v>
      </c>
      <c r="D820">
        <v>10.79</v>
      </c>
      <c r="E820">
        <v>31</v>
      </c>
      <c r="F820">
        <v>334.48999999999995</v>
      </c>
    </row>
    <row r="821" spans="1:6" x14ac:dyDescent="0.25">
      <c r="A821">
        <v>820</v>
      </c>
      <c r="B821" s="1">
        <v>45753</v>
      </c>
      <c r="C821" s="2" t="s">
        <v>14</v>
      </c>
      <c r="D821">
        <v>109.29</v>
      </c>
      <c r="E821">
        <v>79</v>
      </c>
      <c r="F821">
        <v>8633.91</v>
      </c>
    </row>
    <row r="822" spans="1:6" x14ac:dyDescent="0.25">
      <c r="A822">
        <v>821</v>
      </c>
      <c r="B822" s="1">
        <v>45812</v>
      </c>
      <c r="C822" s="2" t="s">
        <v>25</v>
      </c>
      <c r="D822">
        <v>83.41</v>
      </c>
      <c r="E822">
        <v>133</v>
      </c>
      <c r="F822">
        <v>11093.529999999999</v>
      </c>
    </row>
    <row r="823" spans="1:6" x14ac:dyDescent="0.25">
      <c r="A823">
        <v>822</v>
      </c>
      <c r="B823" s="1">
        <v>45778</v>
      </c>
      <c r="C823" s="2" t="s">
        <v>25</v>
      </c>
      <c r="D823">
        <v>63.66</v>
      </c>
      <c r="E823">
        <v>201</v>
      </c>
      <c r="F823">
        <v>12795.66</v>
      </c>
    </row>
    <row r="824" spans="1:6" x14ac:dyDescent="0.25">
      <c r="A824">
        <v>823</v>
      </c>
      <c r="B824" s="1">
        <v>45774</v>
      </c>
      <c r="C824" s="2" t="s">
        <v>23</v>
      </c>
      <c r="D824">
        <v>6.76</v>
      </c>
      <c r="E824">
        <v>146</v>
      </c>
      <c r="F824">
        <v>986.95999999999992</v>
      </c>
    </row>
    <row r="825" spans="1:6" x14ac:dyDescent="0.25">
      <c r="A825">
        <v>824</v>
      </c>
      <c r="B825" s="1">
        <v>45728</v>
      </c>
      <c r="C825" s="2" t="s">
        <v>25</v>
      </c>
      <c r="D825">
        <v>84.75</v>
      </c>
      <c r="E825">
        <v>75</v>
      </c>
      <c r="F825">
        <v>6356.25</v>
      </c>
    </row>
    <row r="826" spans="1:6" x14ac:dyDescent="0.25">
      <c r="A826">
        <v>825</v>
      </c>
      <c r="B826" s="1">
        <v>45801</v>
      </c>
      <c r="C826" s="2" t="s">
        <v>14</v>
      </c>
      <c r="D826">
        <v>62.87</v>
      </c>
      <c r="E826">
        <v>40</v>
      </c>
      <c r="F826">
        <v>2514.7999999999997</v>
      </c>
    </row>
    <row r="827" spans="1:6" x14ac:dyDescent="0.25">
      <c r="A827">
        <v>826</v>
      </c>
      <c r="B827" s="1">
        <v>45809</v>
      </c>
      <c r="C827" s="2" t="s">
        <v>28</v>
      </c>
      <c r="D827">
        <v>77.48</v>
      </c>
      <c r="E827">
        <v>152</v>
      </c>
      <c r="F827">
        <v>11776.960000000001</v>
      </c>
    </row>
    <row r="828" spans="1:6" x14ac:dyDescent="0.25">
      <c r="A828">
        <v>827</v>
      </c>
      <c r="B828" s="1">
        <v>45723</v>
      </c>
      <c r="C828" s="2" t="s">
        <v>11</v>
      </c>
      <c r="D828">
        <v>122.03</v>
      </c>
      <c r="E828">
        <v>85</v>
      </c>
      <c r="F828">
        <v>10372.549999999999</v>
      </c>
    </row>
    <row r="829" spans="1:6" x14ac:dyDescent="0.25">
      <c r="A829">
        <v>828</v>
      </c>
      <c r="B829" s="1">
        <v>45789</v>
      </c>
      <c r="C829" s="2" t="s">
        <v>10</v>
      </c>
      <c r="D829">
        <v>43.2</v>
      </c>
      <c r="E829">
        <v>91</v>
      </c>
      <c r="F829">
        <v>3931.2000000000003</v>
      </c>
    </row>
    <row r="830" spans="1:6" x14ac:dyDescent="0.25">
      <c r="A830">
        <v>829</v>
      </c>
      <c r="B830" s="1">
        <v>45780</v>
      </c>
      <c r="C830" s="2" t="s">
        <v>27</v>
      </c>
      <c r="D830">
        <v>85.04</v>
      </c>
      <c r="E830">
        <v>131</v>
      </c>
      <c r="F830">
        <v>11140.240000000002</v>
      </c>
    </row>
    <row r="831" spans="1:6" x14ac:dyDescent="0.25">
      <c r="A831">
        <v>830</v>
      </c>
      <c r="B831" s="1">
        <v>45765</v>
      </c>
      <c r="C831" s="2" t="s">
        <v>26</v>
      </c>
      <c r="D831">
        <v>37.44</v>
      </c>
      <c r="E831">
        <v>71</v>
      </c>
      <c r="F831">
        <v>2658.24</v>
      </c>
    </row>
    <row r="832" spans="1:6" x14ac:dyDescent="0.25">
      <c r="A832">
        <v>831</v>
      </c>
      <c r="B832" s="1">
        <v>45697</v>
      </c>
      <c r="C832" s="2" t="s">
        <v>23</v>
      </c>
      <c r="D832">
        <v>30.57</v>
      </c>
      <c r="E832">
        <v>61</v>
      </c>
      <c r="F832">
        <v>1864.77</v>
      </c>
    </row>
    <row r="833" spans="1:6" x14ac:dyDescent="0.25">
      <c r="A833">
        <v>832</v>
      </c>
      <c r="B833" s="1">
        <v>45675</v>
      </c>
      <c r="C833" s="2" t="s">
        <v>25</v>
      </c>
      <c r="D833">
        <v>22.69</v>
      </c>
      <c r="E833">
        <v>169</v>
      </c>
      <c r="F833">
        <v>3834.61</v>
      </c>
    </row>
    <row r="834" spans="1:6" x14ac:dyDescent="0.25">
      <c r="A834">
        <v>833</v>
      </c>
      <c r="B834" s="1">
        <v>45813</v>
      </c>
      <c r="C834" s="2" t="s">
        <v>20</v>
      </c>
      <c r="D834">
        <v>88.75</v>
      </c>
      <c r="E834">
        <v>216</v>
      </c>
      <c r="F834">
        <v>19170</v>
      </c>
    </row>
    <row r="835" spans="1:6" x14ac:dyDescent="0.25">
      <c r="A835">
        <v>834</v>
      </c>
      <c r="B835" s="1">
        <v>45749</v>
      </c>
      <c r="C835" s="2" t="s">
        <v>17</v>
      </c>
      <c r="D835">
        <v>101.13</v>
      </c>
      <c r="E835">
        <v>90</v>
      </c>
      <c r="F835">
        <v>9101.6999999999989</v>
      </c>
    </row>
    <row r="836" spans="1:6" x14ac:dyDescent="0.25">
      <c r="A836">
        <v>835</v>
      </c>
      <c r="B836" s="1">
        <v>45837</v>
      </c>
      <c r="C836" s="2" t="s">
        <v>24</v>
      </c>
      <c r="D836">
        <v>53.65</v>
      </c>
      <c r="E836">
        <v>192</v>
      </c>
      <c r="F836">
        <v>10300.799999999999</v>
      </c>
    </row>
    <row r="837" spans="1:6" x14ac:dyDescent="0.25">
      <c r="A837">
        <v>836</v>
      </c>
      <c r="B837" s="1">
        <v>45744</v>
      </c>
      <c r="C837" s="2" t="s">
        <v>14</v>
      </c>
      <c r="D837">
        <v>27.73</v>
      </c>
      <c r="E837">
        <v>139</v>
      </c>
      <c r="F837">
        <v>3854.4700000000003</v>
      </c>
    </row>
    <row r="838" spans="1:6" x14ac:dyDescent="0.25">
      <c r="A838">
        <v>837</v>
      </c>
      <c r="B838" s="1">
        <v>45729</v>
      </c>
      <c r="C838" s="2" t="s">
        <v>8</v>
      </c>
      <c r="D838">
        <v>53.07</v>
      </c>
      <c r="E838">
        <v>30</v>
      </c>
      <c r="F838">
        <v>1592.1</v>
      </c>
    </row>
    <row r="839" spans="1:6" x14ac:dyDescent="0.25">
      <c r="A839">
        <v>838</v>
      </c>
      <c r="B839" s="1">
        <v>45796</v>
      </c>
      <c r="C839" s="2" t="s">
        <v>30</v>
      </c>
      <c r="D839">
        <v>62.93</v>
      </c>
      <c r="E839">
        <v>58</v>
      </c>
      <c r="F839">
        <v>3649.94</v>
      </c>
    </row>
    <row r="840" spans="1:6" x14ac:dyDescent="0.25">
      <c r="A840">
        <v>839</v>
      </c>
      <c r="B840" s="1">
        <v>45741</v>
      </c>
      <c r="C840" s="2" t="s">
        <v>19</v>
      </c>
      <c r="D840">
        <v>126.37</v>
      </c>
      <c r="E840">
        <v>33</v>
      </c>
      <c r="F840">
        <v>4170.21</v>
      </c>
    </row>
    <row r="841" spans="1:6" x14ac:dyDescent="0.25">
      <c r="A841">
        <v>840</v>
      </c>
      <c r="B841" s="1">
        <v>45658</v>
      </c>
      <c r="C841" s="2" t="s">
        <v>15</v>
      </c>
      <c r="D841">
        <v>88.71</v>
      </c>
      <c r="E841">
        <v>129</v>
      </c>
      <c r="F841">
        <v>11443.589999999998</v>
      </c>
    </row>
    <row r="842" spans="1:6" x14ac:dyDescent="0.25">
      <c r="A842">
        <v>841</v>
      </c>
      <c r="B842" s="1">
        <v>45692</v>
      </c>
      <c r="C842" s="2" t="s">
        <v>7</v>
      </c>
      <c r="D842">
        <v>116.71</v>
      </c>
      <c r="E842">
        <v>140</v>
      </c>
      <c r="F842">
        <v>16339.4</v>
      </c>
    </row>
    <row r="843" spans="1:6" x14ac:dyDescent="0.25">
      <c r="A843">
        <v>842</v>
      </c>
      <c r="B843" s="1">
        <v>45829</v>
      </c>
      <c r="C843" s="2" t="s">
        <v>13</v>
      </c>
      <c r="D843">
        <v>87.59</v>
      </c>
      <c r="E843">
        <v>285</v>
      </c>
      <c r="F843">
        <v>24963.15</v>
      </c>
    </row>
    <row r="844" spans="1:6" x14ac:dyDescent="0.25">
      <c r="A844">
        <v>843</v>
      </c>
      <c r="B844" s="1">
        <v>45712</v>
      </c>
      <c r="C844" s="2" t="s">
        <v>23</v>
      </c>
      <c r="D844">
        <v>138.58000000000001</v>
      </c>
      <c r="E844">
        <v>100</v>
      </c>
      <c r="F844">
        <v>13858.000000000002</v>
      </c>
    </row>
    <row r="845" spans="1:6" x14ac:dyDescent="0.25">
      <c r="A845">
        <v>844</v>
      </c>
      <c r="B845" s="1">
        <v>45814</v>
      </c>
      <c r="C845" s="2" t="s">
        <v>25</v>
      </c>
      <c r="D845">
        <v>70.3</v>
      </c>
      <c r="E845">
        <v>35</v>
      </c>
      <c r="F845">
        <v>2460.5</v>
      </c>
    </row>
    <row r="846" spans="1:6" x14ac:dyDescent="0.25">
      <c r="A846">
        <v>845</v>
      </c>
      <c r="B846" s="1">
        <v>45666</v>
      </c>
      <c r="C846" s="2" t="s">
        <v>18</v>
      </c>
      <c r="D846">
        <v>20.55</v>
      </c>
      <c r="E846">
        <v>209</v>
      </c>
      <c r="F846">
        <v>4294.95</v>
      </c>
    </row>
    <row r="847" spans="1:6" x14ac:dyDescent="0.25">
      <c r="A847">
        <v>846</v>
      </c>
      <c r="B847" s="1">
        <v>45716</v>
      </c>
      <c r="C847" s="2" t="s">
        <v>26</v>
      </c>
      <c r="D847">
        <v>53.61</v>
      </c>
      <c r="E847">
        <v>51</v>
      </c>
      <c r="F847">
        <v>2734.11</v>
      </c>
    </row>
    <row r="848" spans="1:6" x14ac:dyDescent="0.25">
      <c r="A848">
        <v>847</v>
      </c>
      <c r="B848" s="1">
        <v>45761</v>
      </c>
      <c r="C848" s="2" t="s">
        <v>26</v>
      </c>
      <c r="D848">
        <v>112.66</v>
      </c>
      <c r="E848">
        <v>110</v>
      </c>
      <c r="F848">
        <v>12392.6</v>
      </c>
    </row>
    <row r="849" spans="1:6" x14ac:dyDescent="0.25">
      <c r="A849">
        <v>848</v>
      </c>
      <c r="B849" s="1">
        <v>45755</v>
      </c>
      <c r="C849" s="2" t="s">
        <v>30</v>
      </c>
      <c r="D849">
        <v>21.35</v>
      </c>
      <c r="E849">
        <v>51</v>
      </c>
      <c r="F849">
        <v>1088.8500000000001</v>
      </c>
    </row>
    <row r="850" spans="1:6" x14ac:dyDescent="0.25">
      <c r="A850">
        <v>849</v>
      </c>
      <c r="B850" s="1">
        <v>45718</v>
      </c>
      <c r="C850" s="2" t="s">
        <v>26</v>
      </c>
      <c r="D850">
        <v>39.590000000000003</v>
      </c>
      <c r="E850">
        <v>119</v>
      </c>
      <c r="F850">
        <v>4711.21</v>
      </c>
    </row>
    <row r="851" spans="1:6" x14ac:dyDescent="0.25">
      <c r="A851">
        <v>850</v>
      </c>
      <c r="B851" s="1">
        <v>45675</v>
      </c>
      <c r="C851" s="2" t="s">
        <v>12</v>
      </c>
      <c r="D851">
        <v>116.23</v>
      </c>
      <c r="E851">
        <v>47</v>
      </c>
      <c r="F851">
        <v>5462.81</v>
      </c>
    </row>
    <row r="852" spans="1:6" x14ac:dyDescent="0.25">
      <c r="A852">
        <v>851</v>
      </c>
      <c r="B852" s="1">
        <v>45767</v>
      </c>
      <c r="C852" s="2" t="s">
        <v>7</v>
      </c>
      <c r="D852">
        <v>86.57</v>
      </c>
      <c r="E852">
        <v>215</v>
      </c>
      <c r="F852">
        <v>18612.55</v>
      </c>
    </row>
    <row r="853" spans="1:6" x14ac:dyDescent="0.25">
      <c r="A853">
        <v>852</v>
      </c>
      <c r="B853" s="1">
        <v>45773</v>
      </c>
      <c r="C853" s="2" t="s">
        <v>11</v>
      </c>
      <c r="D853">
        <v>18.3</v>
      </c>
      <c r="E853">
        <v>75</v>
      </c>
      <c r="F853">
        <v>1372.5</v>
      </c>
    </row>
    <row r="854" spans="1:6" x14ac:dyDescent="0.25">
      <c r="A854">
        <v>853</v>
      </c>
      <c r="B854" s="1">
        <v>45742</v>
      </c>
      <c r="C854" s="2" t="s">
        <v>12</v>
      </c>
      <c r="D854">
        <v>44.26</v>
      </c>
      <c r="E854">
        <v>269</v>
      </c>
      <c r="F854">
        <v>11905.939999999999</v>
      </c>
    </row>
    <row r="855" spans="1:6" x14ac:dyDescent="0.25">
      <c r="A855">
        <v>854</v>
      </c>
      <c r="B855" s="1">
        <v>45774</v>
      </c>
      <c r="C855" s="2" t="s">
        <v>9</v>
      </c>
      <c r="D855">
        <v>50.75</v>
      </c>
      <c r="E855">
        <v>201</v>
      </c>
      <c r="F855">
        <v>10200.75</v>
      </c>
    </row>
    <row r="856" spans="1:6" x14ac:dyDescent="0.25">
      <c r="A856">
        <v>855</v>
      </c>
      <c r="B856" s="1">
        <v>45745</v>
      </c>
      <c r="C856" s="2" t="s">
        <v>9</v>
      </c>
      <c r="D856">
        <v>6.99</v>
      </c>
      <c r="E856">
        <v>29</v>
      </c>
      <c r="F856">
        <v>202.71</v>
      </c>
    </row>
    <row r="857" spans="1:6" x14ac:dyDescent="0.25">
      <c r="A857">
        <v>856</v>
      </c>
      <c r="B857" s="1">
        <v>45702</v>
      </c>
      <c r="C857" s="2" t="s">
        <v>8</v>
      </c>
      <c r="D857">
        <v>41.09</v>
      </c>
      <c r="E857">
        <v>43</v>
      </c>
      <c r="F857">
        <v>1766.8700000000001</v>
      </c>
    </row>
    <row r="858" spans="1:6" x14ac:dyDescent="0.25">
      <c r="A858">
        <v>857</v>
      </c>
      <c r="B858" s="1">
        <v>45715</v>
      </c>
      <c r="C858" s="2" t="s">
        <v>9</v>
      </c>
      <c r="D858">
        <v>114.56</v>
      </c>
      <c r="E858">
        <v>34</v>
      </c>
      <c r="F858">
        <v>3895.04</v>
      </c>
    </row>
    <row r="859" spans="1:6" x14ac:dyDescent="0.25">
      <c r="A859">
        <v>858</v>
      </c>
      <c r="B859" s="1">
        <v>45817</v>
      </c>
      <c r="C859" s="2" t="s">
        <v>6</v>
      </c>
      <c r="D859">
        <v>108.62</v>
      </c>
      <c r="E859">
        <v>52</v>
      </c>
      <c r="F859">
        <v>5648.24</v>
      </c>
    </row>
    <row r="860" spans="1:6" x14ac:dyDescent="0.25">
      <c r="A860">
        <v>859</v>
      </c>
      <c r="B860" s="1">
        <v>45728</v>
      </c>
      <c r="C860" s="2" t="s">
        <v>27</v>
      </c>
      <c r="D860">
        <v>38.409999999999997</v>
      </c>
      <c r="E860">
        <v>68</v>
      </c>
      <c r="F860">
        <v>2611.8799999999997</v>
      </c>
    </row>
    <row r="861" spans="1:6" x14ac:dyDescent="0.25">
      <c r="A861">
        <v>860</v>
      </c>
      <c r="B861" s="1">
        <v>45741</v>
      </c>
      <c r="C861" s="2" t="s">
        <v>12</v>
      </c>
      <c r="D861">
        <v>36.33</v>
      </c>
      <c r="E861">
        <v>63</v>
      </c>
      <c r="F861">
        <v>2288.79</v>
      </c>
    </row>
    <row r="862" spans="1:6" x14ac:dyDescent="0.25">
      <c r="A862">
        <v>861</v>
      </c>
      <c r="B862" s="1">
        <v>45810</v>
      </c>
      <c r="C862" s="2" t="s">
        <v>7</v>
      </c>
      <c r="D862">
        <v>108.78</v>
      </c>
      <c r="E862">
        <v>46</v>
      </c>
      <c r="F862">
        <v>5003.88</v>
      </c>
    </row>
    <row r="863" spans="1:6" x14ac:dyDescent="0.25">
      <c r="A863">
        <v>862</v>
      </c>
      <c r="B863" s="1">
        <v>45707</v>
      </c>
      <c r="C863" s="2" t="s">
        <v>23</v>
      </c>
      <c r="D863">
        <v>35.729999999999997</v>
      </c>
      <c r="E863">
        <v>37</v>
      </c>
      <c r="F863">
        <v>1322.01</v>
      </c>
    </row>
    <row r="864" spans="1:6" x14ac:dyDescent="0.25">
      <c r="A864">
        <v>863</v>
      </c>
      <c r="B864" s="1">
        <v>45791</v>
      </c>
      <c r="C864" s="2" t="s">
        <v>16</v>
      </c>
      <c r="D864">
        <v>7.94</v>
      </c>
      <c r="E864">
        <v>150</v>
      </c>
      <c r="F864">
        <v>1191</v>
      </c>
    </row>
    <row r="865" spans="1:6" x14ac:dyDescent="0.25">
      <c r="A865">
        <v>864</v>
      </c>
      <c r="B865" s="1">
        <v>45808</v>
      </c>
      <c r="C865" s="2" t="s">
        <v>15</v>
      </c>
      <c r="D865">
        <v>96.59</v>
      </c>
      <c r="E865">
        <v>148</v>
      </c>
      <c r="F865">
        <v>14295.32</v>
      </c>
    </row>
    <row r="866" spans="1:6" x14ac:dyDescent="0.25">
      <c r="A866">
        <v>865</v>
      </c>
      <c r="B866" s="1">
        <v>45799</v>
      </c>
      <c r="C866" s="2" t="s">
        <v>12</v>
      </c>
      <c r="D866">
        <v>147.9</v>
      </c>
      <c r="E866">
        <v>114</v>
      </c>
      <c r="F866">
        <v>16860.600000000002</v>
      </c>
    </row>
    <row r="867" spans="1:6" x14ac:dyDescent="0.25">
      <c r="A867">
        <v>866</v>
      </c>
      <c r="B867" s="1">
        <v>45707</v>
      </c>
      <c r="C867" s="2" t="s">
        <v>21</v>
      </c>
      <c r="D867">
        <v>82.04</v>
      </c>
      <c r="E867">
        <v>176</v>
      </c>
      <c r="F867">
        <v>14439.04</v>
      </c>
    </row>
    <row r="868" spans="1:6" x14ac:dyDescent="0.25">
      <c r="A868">
        <v>867</v>
      </c>
      <c r="B868" s="1">
        <v>45695</v>
      </c>
      <c r="C868" s="2" t="s">
        <v>11</v>
      </c>
      <c r="D868">
        <v>56.61</v>
      </c>
      <c r="E868">
        <v>58</v>
      </c>
      <c r="F868">
        <v>3283.38</v>
      </c>
    </row>
    <row r="869" spans="1:6" x14ac:dyDescent="0.25">
      <c r="A869">
        <v>868</v>
      </c>
      <c r="B869" s="1">
        <v>45755</v>
      </c>
      <c r="C869" s="2" t="s">
        <v>10</v>
      </c>
      <c r="D869">
        <v>111</v>
      </c>
      <c r="E869">
        <v>148</v>
      </c>
      <c r="F869">
        <v>16428</v>
      </c>
    </row>
    <row r="870" spans="1:6" x14ac:dyDescent="0.25">
      <c r="A870">
        <v>869</v>
      </c>
      <c r="B870" s="1">
        <v>45790</v>
      </c>
      <c r="C870" s="2" t="s">
        <v>24</v>
      </c>
      <c r="D870">
        <v>4.8899999999999997</v>
      </c>
      <c r="E870">
        <v>95</v>
      </c>
      <c r="F870">
        <v>464.54999999999995</v>
      </c>
    </row>
    <row r="871" spans="1:6" x14ac:dyDescent="0.25">
      <c r="A871">
        <v>870</v>
      </c>
      <c r="B871" s="1">
        <v>45766</v>
      </c>
      <c r="C871" s="2" t="s">
        <v>27</v>
      </c>
      <c r="D871">
        <v>105.3</v>
      </c>
      <c r="E871">
        <v>28</v>
      </c>
      <c r="F871">
        <v>2948.4</v>
      </c>
    </row>
    <row r="872" spans="1:6" x14ac:dyDescent="0.25">
      <c r="A872">
        <v>871</v>
      </c>
      <c r="B872" s="1">
        <v>45824</v>
      </c>
      <c r="C872" s="2" t="s">
        <v>19</v>
      </c>
      <c r="D872">
        <v>42.75</v>
      </c>
      <c r="E872">
        <v>168</v>
      </c>
      <c r="F872">
        <v>7182</v>
      </c>
    </row>
    <row r="873" spans="1:6" x14ac:dyDescent="0.25">
      <c r="A873">
        <v>872</v>
      </c>
      <c r="B873" s="1">
        <v>45670</v>
      </c>
      <c r="C873" s="2" t="s">
        <v>13</v>
      </c>
      <c r="D873">
        <v>18.55</v>
      </c>
      <c r="E873">
        <v>17</v>
      </c>
      <c r="F873">
        <v>315.35000000000002</v>
      </c>
    </row>
    <row r="874" spans="1:6" x14ac:dyDescent="0.25">
      <c r="A874">
        <v>873</v>
      </c>
      <c r="B874" s="1">
        <v>45769</v>
      </c>
      <c r="C874" s="2" t="s">
        <v>23</v>
      </c>
      <c r="D874">
        <v>121.75</v>
      </c>
      <c r="E874">
        <v>110</v>
      </c>
      <c r="F874">
        <v>13392.5</v>
      </c>
    </row>
    <row r="875" spans="1:6" x14ac:dyDescent="0.25">
      <c r="A875">
        <v>874</v>
      </c>
      <c r="B875" s="1">
        <v>45787</v>
      </c>
      <c r="C875" s="2" t="s">
        <v>29</v>
      </c>
      <c r="D875">
        <v>85.7</v>
      </c>
      <c r="E875">
        <v>116</v>
      </c>
      <c r="F875">
        <v>9941.2000000000007</v>
      </c>
    </row>
    <row r="876" spans="1:6" x14ac:dyDescent="0.25">
      <c r="A876">
        <v>875</v>
      </c>
      <c r="B876" s="1">
        <v>45791</v>
      </c>
      <c r="C876" s="2" t="s">
        <v>28</v>
      </c>
      <c r="D876">
        <v>43.49</v>
      </c>
      <c r="E876">
        <v>19</v>
      </c>
      <c r="F876">
        <v>826.31000000000006</v>
      </c>
    </row>
    <row r="877" spans="1:6" x14ac:dyDescent="0.25">
      <c r="A877">
        <v>876</v>
      </c>
      <c r="B877" s="1">
        <v>45690</v>
      </c>
      <c r="C877" s="2" t="s">
        <v>6</v>
      </c>
      <c r="D877">
        <v>97.91</v>
      </c>
      <c r="E877">
        <v>188</v>
      </c>
      <c r="F877">
        <v>18407.079999999998</v>
      </c>
    </row>
    <row r="878" spans="1:6" x14ac:dyDescent="0.25">
      <c r="A878">
        <v>877</v>
      </c>
      <c r="B878" s="1">
        <v>45672</v>
      </c>
      <c r="C878" s="2" t="s">
        <v>28</v>
      </c>
      <c r="D878">
        <v>21.11</v>
      </c>
      <c r="E878">
        <v>54</v>
      </c>
      <c r="F878">
        <v>1139.94</v>
      </c>
    </row>
    <row r="879" spans="1:6" x14ac:dyDescent="0.25">
      <c r="A879">
        <v>878</v>
      </c>
      <c r="B879" s="1">
        <v>45685</v>
      </c>
      <c r="C879" s="2" t="s">
        <v>11</v>
      </c>
      <c r="D879">
        <v>125.84</v>
      </c>
      <c r="E879">
        <v>174</v>
      </c>
      <c r="F879">
        <v>21896.16</v>
      </c>
    </row>
    <row r="880" spans="1:6" x14ac:dyDescent="0.25">
      <c r="A880">
        <v>879</v>
      </c>
      <c r="B880" s="1">
        <v>45708</v>
      </c>
      <c r="C880" s="2" t="s">
        <v>8</v>
      </c>
      <c r="D880">
        <v>84.25</v>
      </c>
      <c r="E880">
        <v>119</v>
      </c>
      <c r="F880">
        <v>10025.75</v>
      </c>
    </row>
    <row r="881" spans="1:6" x14ac:dyDescent="0.25">
      <c r="A881">
        <v>880</v>
      </c>
      <c r="B881" s="1">
        <v>45688</v>
      </c>
      <c r="C881" s="2" t="s">
        <v>23</v>
      </c>
      <c r="D881">
        <v>18.29</v>
      </c>
      <c r="E881">
        <v>149</v>
      </c>
      <c r="F881">
        <v>2725.21</v>
      </c>
    </row>
    <row r="882" spans="1:6" x14ac:dyDescent="0.25">
      <c r="A882">
        <v>881</v>
      </c>
      <c r="B882" s="1">
        <v>45787</v>
      </c>
      <c r="C882" s="2" t="s">
        <v>26</v>
      </c>
      <c r="D882">
        <v>48.91</v>
      </c>
      <c r="E882">
        <v>21</v>
      </c>
      <c r="F882">
        <v>1027.1099999999999</v>
      </c>
    </row>
    <row r="883" spans="1:6" x14ac:dyDescent="0.25">
      <c r="A883">
        <v>882</v>
      </c>
      <c r="B883" s="1">
        <v>45752</v>
      </c>
      <c r="C883" s="2" t="s">
        <v>24</v>
      </c>
      <c r="D883">
        <v>82</v>
      </c>
      <c r="E883">
        <v>230</v>
      </c>
      <c r="F883">
        <v>18860</v>
      </c>
    </row>
    <row r="884" spans="1:6" x14ac:dyDescent="0.25">
      <c r="A884">
        <v>883</v>
      </c>
      <c r="B884" s="1">
        <v>45706</v>
      </c>
      <c r="C884" s="2" t="s">
        <v>10</v>
      </c>
      <c r="D884">
        <v>49.26</v>
      </c>
      <c r="E884">
        <v>113</v>
      </c>
      <c r="F884">
        <v>5566.38</v>
      </c>
    </row>
    <row r="885" spans="1:6" x14ac:dyDescent="0.25">
      <c r="A885">
        <v>884</v>
      </c>
      <c r="B885" s="1">
        <v>45818</v>
      </c>
      <c r="C885" s="2" t="s">
        <v>9</v>
      </c>
      <c r="D885">
        <v>74.430000000000007</v>
      </c>
      <c r="E885">
        <v>147</v>
      </c>
      <c r="F885">
        <v>10941.210000000001</v>
      </c>
    </row>
    <row r="886" spans="1:6" x14ac:dyDescent="0.25">
      <c r="A886">
        <v>885</v>
      </c>
      <c r="B886" s="1">
        <v>45720</v>
      </c>
      <c r="C886" s="2" t="s">
        <v>13</v>
      </c>
      <c r="D886">
        <v>60.23</v>
      </c>
      <c r="E886">
        <v>36</v>
      </c>
      <c r="F886">
        <v>2168.2799999999997</v>
      </c>
    </row>
    <row r="887" spans="1:6" x14ac:dyDescent="0.25">
      <c r="A887">
        <v>886</v>
      </c>
      <c r="B887" s="1">
        <v>45802</v>
      </c>
      <c r="C887" s="2" t="s">
        <v>9</v>
      </c>
      <c r="D887">
        <v>110.99</v>
      </c>
      <c r="E887">
        <v>95</v>
      </c>
      <c r="F887">
        <v>10544.05</v>
      </c>
    </row>
    <row r="888" spans="1:6" x14ac:dyDescent="0.25">
      <c r="A888">
        <v>887</v>
      </c>
      <c r="B888" s="1">
        <v>45807</v>
      </c>
      <c r="C888" s="2" t="s">
        <v>12</v>
      </c>
      <c r="D888">
        <v>68.08</v>
      </c>
      <c r="E888">
        <v>70</v>
      </c>
      <c r="F888">
        <v>4765.5999999999995</v>
      </c>
    </row>
    <row r="889" spans="1:6" x14ac:dyDescent="0.25">
      <c r="A889">
        <v>888</v>
      </c>
      <c r="B889" s="1">
        <v>45702</v>
      </c>
      <c r="C889" s="2" t="s">
        <v>25</v>
      </c>
      <c r="D889">
        <v>103.51</v>
      </c>
      <c r="E889">
        <v>184</v>
      </c>
      <c r="F889">
        <v>19045.84</v>
      </c>
    </row>
    <row r="890" spans="1:6" x14ac:dyDescent="0.25">
      <c r="A890">
        <v>889</v>
      </c>
      <c r="B890" s="1">
        <v>45719</v>
      </c>
      <c r="C890" s="2" t="s">
        <v>16</v>
      </c>
      <c r="D890">
        <v>108.79</v>
      </c>
      <c r="E890">
        <v>23</v>
      </c>
      <c r="F890">
        <v>2502.17</v>
      </c>
    </row>
    <row r="891" spans="1:6" x14ac:dyDescent="0.25">
      <c r="A891">
        <v>890</v>
      </c>
      <c r="B891" s="1">
        <v>45744</v>
      </c>
      <c r="C891" s="2" t="s">
        <v>28</v>
      </c>
      <c r="D891">
        <v>74.12</v>
      </c>
      <c r="E891">
        <v>113</v>
      </c>
      <c r="F891">
        <v>8375.5600000000013</v>
      </c>
    </row>
    <row r="892" spans="1:6" x14ac:dyDescent="0.25">
      <c r="A892">
        <v>891</v>
      </c>
      <c r="B892" s="1">
        <v>45756</v>
      </c>
      <c r="C892" s="2" t="s">
        <v>20</v>
      </c>
      <c r="D892">
        <v>105.1</v>
      </c>
      <c r="E892">
        <v>51</v>
      </c>
      <c r="F892">
        <v>5360.0999999999995</v>
      </c>
    </row>
    <row r="893" spans="1:6" x14ac:dyDescent="0.25">
      <c r="A893">
        <v>892</v>
      </c>
      <c r="B893" s="1">
        <v>45727</v>
      </c>
      <c r="C893" s="2" t="s">
        <v>6</v>
      </c>
      <c r="D893">
        <v>33.869999999999997</v>
      </c>
      <c r="E893">
        <v>55</v>
      </c>
      <c r="F893">
        <v>1862.85</v>
      </c>
    </row>
    <row r="894" spans="1:6" x14ac:dyDescent="0.25">
      <c r="A894">
        <v>893</v>
      </c>
      <c r="B894" s="1">
        <v>45804</v>
      </c>
      <c r="C894" s="2" t="s">
        <v>7</v>
      </c>
      <c r="D894">
        <v>113.99</v>
      </c>
      <c r="E894">
        <v>100</v>
      </c>
      <c r="F894">
        <v>11399</v>
      </c>
    </row>
    <row r="895" spans="1:6" x14ac:dyDescent="0.25">
      <c r="A895">
        <v>894</v>
      </c>
      <c r="B895" s="1">
        <v>45809</v>
      </c>
      <c r="C895" s="2" t="s">
        <v>12</v>
      </c>
      <c r="D895">
        <v>86.86</v>
      </c>
      <c r="E895">
        <v>87</v>
      </c>
      <c r="F895">
        <v>7556.82</v>
      </c>
    </row>
    <row r="896" spans="1:6" x14ac:dyDescent="0.25">
      <c r="A896">
        <v>895</v>
      </c>
      <c r="B896" s="1">
        <v>45770</v>
      </c>
      <c r="C896" s="2" t="s">
        <v>23</v>
      </c>
      <c r="D896">
        <v>7.31</v>
      </c>
      <c r="E896">
        <v>120</v>
      </c>
      <c r="F896">
        <v>877.19999999999993</v>
      </c>
    </row>
    <row r="897" spans="1:6" x14ac:dyDescent="0.25">
      <c r="A897">
        <v>896</v>
      </c>
      <c r="B897" s="1">
        <v>45770</v>
      </c>
      <c r="C897" s="2" t="s">
        <v>28</v>
      </c>
      <c r="D897">
        <v>8.6999999999999993</v>
      </c>
      <c r="E897">
        <v>94</v>
      </c>
      <c r="F897">
        <v>817.8</v>
      </c>
    </row>
    <row r="898" spans="1:6" x14ac:dyDescent="0.25">
      <c r="A898">
        <v>897</v>
      </c>
      <c r="B898" s="1">
        <v>45789</v>
      </c>
      <c r="C898" s="2" t="s">
        <v>20</v>
      </c>
      <c r="D898">
        <v>104.31</v>
      </c>
      <c r="E898">
        <v>27</v>
      </c>
      <c r="F898">
        <v>2816.37</v>
      </c>
    </row>
    <row r="899" spans="1:6" x14ac:dyDescent="0.25">
      <c r="A899">
        <v>898</v>
      </c>
      <c r="B899" s="1">
        <v>45788</v>
      </c>
      <c r="C899" s="2" t="s">
        <v>25</v>
      </c>
      <c r="D899">
        <v>111.71</v>
      </c>
      <c r="E899">
        <v>194</v>
      </c>
      <c r="F899">
        <v>21671.739999999998</v>
      </c>
    </row>
    <row r="900" spans="1:6" x14ac:dyDescent="0.25">
      <c r="A900">
        <v>899</v>
      </c>
      <c r="B900" s="1">
        <v>45713</v>
      </c>
      <c r="C900" s="2" t="s">
        <v>26</v>
      </c>
      <c r="D900">
        <v>18.55</v>
      </c>
      <c r="E900">
        <v>33</v>
      </c>
      <c r="F900">
        <v>612.15</v>
      </c>
    </row>
    <row r="901" spans="1:6" x14ac:dyDescent="0.25">
      <c r="A901">
        <v>900</v>
      </c>
      <c r="B901" s="1">
        <v>45829</v>
      </c>
      <c r="C901" s="2" t="s">
        <v>15</v>
      </c>
      <c r="D901">
        <v>137.09</v>
      </c>
      <c r="E901">
        <v>69</v>
      </c>
      <c r="F901">
        <v>9459.2100000000009</v>
      </c>
    </row>
    <row r="902" spans="1:6" x14ac:dyDescent="0.25">
      <c r="A902">
        <v>901</v>
      </c>
      <c r="B902" s="1">
        <v>45732</v>
      </c>
      <c r="C902" s="2" t="s">
        <v>26</v>
      </c>
      <c r="D902">
        <v>92.16</v>
      </c>
      <c r="E902">
        <v>33</v>
      </c>
      <c r="F902">
        <v>3041.2799999999997</v>
      </c>
    </row>
    <row r="903" spans="1:6" x14ac:dyDescent="0.25">
      <c r="A903">
        <v>902</v>
      </c>
      <c r="B903" s="1">
        <v>45827</v>
      </c>
      <c r="C903" s="2" t="s">
        <v>9</v>
      </c>
      <c r="D903">
        <v>102.84</v>
      </c>
      <c r="E903">
        <v>186</v>
      </c>
      <c r="F903">
        <v>19128.240000000002</v>
      </c>
    </row>
    <row r="904" spans="1:6" x14ac:dyDescent="0.25">
      <c r="A904">
        <v>903</v>
      </c>
      <c r="B904" s="1">
        <v>45670</v>
      </c>
      <c r="C904" s="2" t="s">
        <v>21</v>
      </c>
      <c r="D904">
        <v>84.99</v>
      </c>
      <c r="E904">
        <v>50</v>
      </c>
      <c r="F904">
        <v>4249.5</v>
      </c>
    </row>
    <row r="905" spans="1:6" x14ac:dyDescent="0.25">
      <c r="A905">
        <v>904</v>
      </c>
      <c r="B905" s="1">
        <v>45673</v>
      </c>
      <c r="C905" s="2" t="s">
        <v>21</v>
      </c>
      <c r="D905">
        <v>65.98</v>
      </c>
      <c r="E905">
        <v>141</v>
      </c>
      <c r="F905">
        <v>9303.18</v>
      </c>
    </row>
    <row r="906" spans="1:6" x14ac:dyDescent="0.25">
      <c r="A906">
        <v>905</v>
      </c>
      <c r="B906" s="1">
        <v>45809</v>
      </c>
      <c r="C906" s="2" t="s">
        <v>23</v>
      </c>
      <c r="D906">
        <v>101.93</v>
      </c>
      <c r="E906">
        <v>69</v>
      </c>
      <c r="F906">
        <v>7033.17</v>
      </c>
    </row>
    <row r="907" spans="1:6" x14ac:dyDescent="0.25">
      <c r="A907">
        <v>906</v>
      </c>
      <c r="B907" s="1">
        <v>45764</v>
      </c>
      <c r="C907" s="2" t="s">
        <v>20</v>
      </c>
      <c r="D907">
        <v>89.62</v>
      </c>
      <c r="E907">
        <v>107</v>
      </c>
      <c r="F907">
        <v>9589.34</v>
      </c>
    </row>
    <row r="908" spans="1:6" x14ac:dyDescent="0.25">
      <c r="A908">
        <v>907</v>
      </c>
      <c r="B908" s="1">
        <v>45711</v>
      </c>
      <c r="C908" s="2" t="s">
        <v>18</v>
      </c>
      <c r="D908">
        <v>19.2</v>
      </c>
      <c r="E908">
        <v>174</v>
      </c>
      <c r="F908">
        <v>3340.7999999999997</v>
      </c>
    </row>
    <row r="909" spans="1:6" x14ac:dyDescent="0.25">
      <c r="A909">
        <v>908</v>
      </c>
      <c r="B909" s="1">
        <v>45733</v>
      </c>
      <c r="C909" s="2" t="s">
        <v>20</v>
      </c>
      <c r="D909">
        <v>78.86</v>
      </c>
      <c r="E909">
        <v>146</v>
      </c>
      <c r="F909">
        <v>11513.56</v>
      </c>
    </row>
    <row r="910" spans="1:6" x14ac:dyDescent="0.25">
      <c r="A910">
        <v>909</v>
      </c>
      <c r="B910" s="1">
        <v>45830</v>
      </c>
      <c r="C910" s="2" t="s">
        <v>13</v>
      </c>
      <c r="D910">
        <v>80.37</v>
      </c>
      <c r="E910">
        <v>59</v>
      </c>
      <c r="F910">
        <v>4741.83</v>
      </c>
    </row>
    <row r="911" spans="1:6" x14ac:dyDescent="0.25">
      <c r="A911">
        <v>910</v>
      </c>
      <c r="B911" s="1">
        <v>45766</v>
      </c>
      <c r="C911" s="2" t="s">
        <v>26</v>
      </c>
      <c r="D911">
        <v>5.82</v>
      </c>
      <c r="E911">
        <v>153</v>
      </c>
      <c r="F911">
        <v>890.46</v>
      </c>
    </row>
    <row r="912" spans="1:6" x14ac:dyDescent="0.25">
      <c r="A912">
        <v>911</v>
      </c>
      <c r="B912" s="1">
        <v>45708</v>
      </c>
      <c r="C912" s="2" t="s">
        <v>21</v>
      </c>
      <c r="D912">
        <v>79.27</v>
      </c>
      <c r="E912">
        <v>125</v>
      </c>
      <c r="F912">
        <v>9908.75</v>
      </c>
    </row>
    <row r="913" spans="1:6" x14ac:dyDescent="0.25">
      <c r="A913">
        <v>912</v>
      </c>
      <c r="B913" s="1">
        <v>45817</v>
      </c>
      <c r="C913" s="2" t="s">
        <v>11</v>
      </c>
      <c r="D913">
        <v>47.14</v>
      </c>
      <c r="E913">
        <v>31</v>
      </c>
      <c r="F913">
        <v>1461.34</v>
      </c>
    </row>
    <row r="914" spans="1:6" x14ac:dyDescent="0.25">
      <c r="A914">
        <v>913</v>
      </c>
      <c r="B914" s="1">
        <v>45770</v>
      </c>
      <c r="C914" s="2" t="s">
        <v>13</v>
      </c>
      <c r="D914">
        <v>33.5</v>
      </c>
      <c r="E914">
        <v>144</v>
      </c>
      <c r="F914">
        <v>4824</v>
      </c>
    </row>
    <row r="915" spans="1:6" x14ac:dyDescent="0.25">
      <c r="A915">
        <v>914</v>
      </c>
      <c r="B915" s="1">
        <v>45708</v>
      </c>
      <c r="C915" s="2" t="s">
        <v>17</v>
      </c>
      <c r="D915">
        <v>18.39</v>
      </c>
      <c r="E915">
        <v>22</v>
      </c>
      <c r="F915">
        <v>404.58000000000004</v>
      </c>
    </row>
    <row r="916" spans="1:6" x14ac:dyDescent="0.25">
      <c r="A916">
        <v>915</v>
      </c>
      <c r="B916" s="1">
        <v>45669</v>
      </c>
      <c r="C916" s="2" t="s">
        <v>10</v>
      </c>
      <c r="D916">
        <v>68.349999999999994</v>
      </c>
      <c r="E916">
        <v>72</v>
      </c>
      <c r="F916">
        <v>4921.2</v>
      </c>
    </row>
    <row r="917" spans="1:6" x14ac:dyDescent="0.25">
      <c r="A917">
        <v>916</v>
      </c>
      <c r="B917" s="1">
        <v>45773</v>
      </c>
      <c r="C917" s="2" t="s">
        <v>25</v>
      </c>
      <c r="D917">
        <v>91.33</v>
      </c>
      <c r="E917">
        <v>47</v>
      </c>
      <c r="F917">
        <v>4292.51</v>
      </c>
    </row>
    <row r="918" spans="1:6" x14ac:dyDescent="0.25">
      <c r="A918">
        <v>917</v>
      </c>
      <c r="B918" s="1">
        <v>45670</v>
      </c>
      <c r="C918" s="2" t="s">
        <v>19</v>
      </c>
      <c r="D918">
        <v>11.58</v>
      </c>
      <c r="E918">
        <v>88</v>
      </c>
      <c r="F918">
        <v>1019.04</v>
      </c>
    </row>
    <row r="919" spans="1:6" x14ac:dyDescent="0.25">
      <c r="A919">
        <v>918</v>
      </c>
      <c r="B919" s="1">
        <v>45710</v>
      </c>
      <c r="C919" s="2" t="s">
        <v>15</v>
      </c>
      <c r="D919">
        <v>8.42</v>
      </c>
      <c r="E919">
        <v>237</v>
      </c>
      <c r="F919">
        <v>1995.54</v>
      </c>
    </row>
    <row r="920" spans="1:6" x14ac:dyDescent="0.25">
      <c r="A920">
        <v>919</v>
      </c>
      <c r="B920" s="1">
        <v>45734</v>
      </c>
      <c r="C920" s="2" t="s">
        <v>20</v>
      </c>
      <c r="D920">
        <v>14.14</v>
      </c>
      <c r="E920">
        <v>251</v>
      </c>
      <c r="F920">
        <v>3549.1400000000003</v>
      </c>
    </row>
    <row r="921" spans="1:6" x14ac:dyDescent="0.25">
      <c r="A921">
        <v>920</v>
      </c>
      <c r="B921" s="1">
        <v>45721</v>
      </c>
      <c r="C921" s="2" t="s">
        <v>12</v>
      </c>
      <c r="D921">
        <v>52.49</v>
      </c>
      <c r="E921">
        <v>58</v>
      </c>
      <c r="F921">
        <v>3044.42</v>
      </c>
    </row>
    <row r="922" spans="1:6" x14ac:dyDescent="0.25">
      <c r="A922">
        <v>921</v>
      </c>
      <c r="B922" s="1">
        <v>45671</v>
      </c>
      <c r="C922" s="2" t="s">
        <v>30</v>
      </c>
      <c r="D922">
        <v>31.92</v>
      </c>
      <c r="E922">
        <v>307</v>
      </c>
      <c r="F922">
        <v>9799.44</v>
      </c>
    </row>
    <row r="923" spans="1:6" x14ac:dyDescent="0.25">
      <c r="A923">
        <v>922</v>
      </c>
      <c r="B923" s="1">
        <v>45787</v>
      </c>
      <c r="C923" s="2" t="s">
        <v>11</v>
      </c>
      <c r="D923">
        <v>23.82</v>
      </c>
      <c r="E923">
        <v>105</v>
      </c>
      <c r="F923">
        <v>2501.1</v>
      </c>
    </row>
    <row r="924" spans="1:6" x14ac:dyDescent="0.25">
      <c r="A924">
        <v>923</v>
      </c>
      <c r="B924" s="1">
        <v>45746</v>
      </c>
      <c r="C924" s="2" t="s">
        <v>26</v>
      </c>
      <c r="D924">
        <v>49.62</v>
      </c>
      <c r="E924">
        <v>166</v>
      </c>
      <c r="F924">
        <v>8236.92</v>
      </c>
    </row>
    <row r="925" spans="1:6" x14ac:dyDescent="0.25">
      <c r="A925">
        <v>924</v>
      </c>
      <c r="B925" s="1">
        <v>45750</v>
      </c>
      <c r="C925" s="2" t="s">
        <v>15</v>
      </c>
      <c r="D925">
        <v>95.65</v>
      </c>
      <c r="E925">
        <v>98</v>
      </c>
      <c r="F925">
        <v>9373.7000000000007</v>
      </c>
    </row>
    <row r="926" spans="1:6" x14ac:dyDescent="0.25">
      <c r="A926">
        <v>925</v>
      </c>
      <c r="B926" s="1">
        <v>45759</v>
      </c>
      <c r="C926" s="2" t="s">
        <v>9</v>
      </c>
      <c r="D926">
        <v>54.5</v>
      </c>
      <c r="E926">
        <v>77</v>
      </c>
      <c r="F926">
        <v>4196.5</v>
      </c>
    </row>
    <row r="927" spans="1:6" x14ac:dyDescent="0.25">
      <c r="A927">
        <v>926</v>
      </c>
      <c r="B927" s="1">
        <v>45716</v>
      </c>
      <c r="C927" s="2" t="s">
        <v>6</v>
      </c>
      <c r="D927">
        <v>75.09</v>
      </c>
      <c r="E927">
        <v>81</v>
      </c>
      <c r="F927">
        <v>6082.29</v>
      </c>
    </row>
    <row r="928" spans="1:6" x14ac:dyDescent="0.25">
      <c r="A928">
        <v>927</v>
      </c>
      <c r="B928" s="1">
        <v>45740</v>
      </c>
      <c r="C928" s="2" t="s">
        <v>24</v>
      </c>
      <c r="D928">
        <v>18</v>
      </c>
      <c r="E928">
        <v>52</v>
      </c>
      <c r="F928">
        <v>936</v>
      </c>
    </row>
    <row r="929" spans="1:6" x14ac:dyDescent="0.25">
      <c r="A929">
        <v>928</v>
      </c>
      <c r="B929" s="1">
        <v>45722</v>
      </c>
      <c r="C929" s="2" t="s">
        <v>22</v>
      </c>
      <c r="D929">
        <v>35.130000000000003</v>
      </c>
      <c r="E929">
        <v>105</v>
      </c>
      <c r="F929">
        <v>3688.65</v>
      </c>
    </row>
    <row r="930" spans="1:6" x14ac:dyDescent="0.25">
      <c r="A930">
        <v>929</v>
      </c>
      <c r="B930" s="1">
        <v>45761</v>
      </c>
      <c r="C930" s="2" t="s">
        <v>16</v>
      </c>
      <c r="D930">
        <v>18.190000000000001</v>
      </c>
      <c r="E930">
        <v>44</v>
      </c>
      <c r="F930">
        <v>800.36</v>
      </c>
    </row>
    <row r="931" spans="1:6" x14ac:dyDescent="0.25">
      <c r="A931">
        <v>930</v>
      </c>
      <c r="B931" s="1">
        <v>45806</v>
      </c>
      <c r="C931" s="2" t="s">
        <v>25</v>
      </c>
      <c r="D931">
        <v>104.77</v>
      </c>
      <c r="E931">
        <v>189</v>
      </c>
      <c r="F931">
        <v>19801.53</v>
      </c>
    </row>
    <row r="932" spans="1:6" x14ac:dyDescent="0.25">
      <c r="A932">
        <v>931</v>
      </c>
      <c r="B932" s="1">
        <v>45778</v>
      </c>
      <c r="C932" s="2" t="s">
        <v>9</v>
      </c>
      <c r="D932">
        <v>102.1</v>
      </c>
      <c r="E932">
        <v>31</v>
      </c>
      <c r="F932">
        <v>3165.1</v>
      </c>
    </row>
    <row r="933" spans="1:6" x14ac:dyDescent="0.25">
      <c r="A933">
        <v>932</v>
      </c>
      <c r="B933" s="1">
        <v>45728</v>
      </c>
      <c r="C933" s="2" t="s">
        <v>8</v>
      </c>
      <c r="D933">
        <v>80.73</v>
      </c>
      <c r="E933">
        <v>105</v>
      </c>
      <c r="F933">
        <v>8476.65</v>
      </c>
    </row>
    <row r="934" spans="1:6" x14ac:dyDescent="0.25">
      <c r="A934">
        <v>933</v>
      </c>
      <c r="B934" s="1">
        <v>45745</v>
      </c>
      <c r="C934" s="2" t="s">
        <v>8</v>
      </c>
      <c r="D934">
        <v>35.36</v>
      </c>
      <c r="E934">
        <v>72</v>
      </c>
      <c r="F934">
        <v>2545.92</v>
      </c>
    </row>
    <row r="935" spans="1:6" x14ac:dyDescent="0.25">
      <c r="A935">
        <v>934</v>
      </c>
      <c r="B935" s="1">
        <v>45684</v>
      </c>
      <c r="C935" s="2" t="s">
        <v>17</v>
      </c>
      <c r="D935">
        <v>70.67</v>
      </c>
      <c r="E935">
        <v>89</v>
      </c>
      <c r="F935">
        <v>6289.63</v>
      </c>
    </row>
    <row r="936" spans="1:6" x14ac:dyDescent="0.25">
      <c r="A936">
        <v>935</v>
      </c>
      <c r="B936" s="1">
        <v>45732</v>
      </c>
      <c r="C936" s="2" t="s">
        <v>13</v>
      </c>
      <c r="D936">
        <v>19.420000000000002</v>
      </c>
      <c r="E936">
        <v>107</v>
      </c>
      <c r="F936">
        <v>2077.94</v>
      </c>
    </row>
    <row r="937" spans="1:6" x14ac:dyDescent="0.25">
      <c r="A937">
        <v>936</v>
      </c>
      <c r="B937" s="1">
        <v>45697</v>
      </c>
      <c r="C937" s="2" t="s">
        <v>21</v>
      </c>
      <c r="D937">
        <v>32.69</v>
      </c>
      <c r="E937">
        <v>54</v>
      </c>
      <c r="F937">
        <v>1765.2599999999998</v>
      </c>
    </row>
    <row r="938" spans="1:6" x14ac:dyDescent="0.25">
      <c r="A938">
        <v>937</v>
      </c>
      <c r="B938" s="1">
        <v>45820</v>
      </c>
      <c r="C938" s="2" t="s">
        <v>22</v>
      </c>
      <c r="D938">
        <v>54.86</v>
      </c>
      <c r="E938">
        <v>104</v>
      </c>
      <c r="F938">
        <v>5705.44</v>
      </c>
    </row>
    <row r="939" spans="1:6" x14ac:dyDescent="0.25">
      <c r="A939">
        <v>938</v>
      </c>
      <c r="B939" s="1">
        <v>45692</v>
      </c>
      <c r="C939" s="2" t="s">
        <v>12</v>
      </c>
      <c r="D939">
        <v>37.67</v>
      </c>
      <c r="E939">
        <v>192</v>
      </c>
      <c r="F939">
        <v>7232.64</v>
      </c>
    </row>
    <row r="940" spans="1:6" x14ac:dyDescent="0.25">
      <c r="A940">
        <v>939</v>
      </c>
      <c r="B940" s="1">
        <v>45729</v>
      </c>
      <c r="C940" s="2" t="s">
        <v>14</v>
      </c>
      <c r="D940">
        <v>65.47</v>
      </c>
      <c r="E940">
        <v>79</v>
      </c>
      <c r="F940">
        <v>5172.13</v>
      </c>
    </row>
    <row r="941" spans="1:6" x14ac:dyDescent="0.25">
      <c r="A941">
        <v>940</v>
      </c>
      <c r="B941" s="1">
        <v>45733</v>
      </c>
      <c r="C941" s="2" t="s">
        <v>17</v>
      </c>
      <c r="D941">
        <v>92.24</v>
      </c>
      <c r="E941">
        <v>240</v>
      </c>
      <c r="F941">
        <v>22137.599999999999</v>
      </c>
    </row>
    <row r="942" spans="1:6" x14ac:dyDescent="0.25">
      <c r="A942">
        <v>941</v>
      </c>
      <c r="B942" s="1">
        <v>45720</v>
      </c>
      <c r="C942" s="2" t="s">
        <v>22</v>
      </c>
      <c r="D942">
        <v>41.21</v>
      </c>
      <c r="E942">
        <v>167</v>
      </c>
      <c r="F942">
        <v>6882.07</v>
      </c>
    </row>
    <row r="943" spans="1:6" x14ac:dyDescent="0.25">
      <c r="A943">
        <v>942</v>
      </c>
      <c r="B943" s="1">
        <v>45806</v>
      </c>
      <c r="C943" s="2" t="s">
        <v>26</v>
      </c>
      <c r="D943">
        <v>29.05</v>
      </c>
      <c r="E943">
        <v>58</v>
      </c>
      <c r="F943">
        <v>1684.9</v>
      </c>
    </row>
    <row r="944" spans="1:6" x14ac:dyDescent="0.25">
      <c r="A944">
        <v>943</v>
      </c>
      <c r="B944" s="1">
        <v>45717</v>
      </c>
      <c r="C944" s="2" t="s">
        <v>27</v>
      </c>
      <c r="D944">
        <v>83.97</v>
      </c>
      <c r="E944">
        <v>187</v>
      </c>
      <c r="F944">
        <v>15702.39</v>
      </c>
    </row>
    <row r="945" spans="1:6" x14ac:dyDescent="0.25">
      <c r="A945">
        <v>944</v>
      </c>
      <c r="B945" s="1">
        <v>45825</v>
      </c>
      <c r="C945" s="2" t="s">
        <v>12</v>
      </c>
      <c r="D945">
        <v>12.96</v>
      </c>
      <c r="E945">
        <v>118</v>
      </c>
      <c r="F945">
        <v>1529.2800000000002</v>
      </c>
    </row>
    <row r="946" spans="1:6" x14ac:dyDescent="0.25">
      <c r="A946">
        <v>945</v>
      </c>
      <c r="B946" s="1">
        <v>45716</v>
      </c>
      <c r="C946" s="2" t="s">
        <v>8</v>
      </c>
      <c r="D946">
        <v>19.98</v>
      </c>
      <c r="E946">
        <v>123</v>
      </c>
      <c r="F946">
        <v>2457.54</v>
      </c>
    </row>
    <row r="947" spans="1:6" x14ac:dyDescent="0.25">
      <c r="A947">
        <v>946</v>
      </c>
      <c r="B947" s="1">
        <v>45807</v>
      </c>
      <c r="C947" s="2" t="s">
        <v>29</v>
      </c>
      <c r="D947">
        <v>52.74</v>
      </c>
      <c r="E947">
        <v>146</v>
      </c>
      <c r="F947">
        <v>7700.04</v>
      </c>
    </row>
    <row r="948" spans="1:6" x14ac:dyDescent="0.25">
      <c r="A948">
        <v>947</v>
      </c>
      <c r="B948" s="1">
        <v>45829</v>
      </c>
      <c r="C948" s="2" t="s">
        <v>28</v>
      </c>
      <c r="D948">
        <v>111.49</v>
      </c>
      <c r="E948">
        <v>30</v>
      </c>
      <c r="F948">
        <v>3344.7</v>
      </c>
    </row>
    <row r="949" spans="1:6" x14ac:dyDescent="0.25">
      <c r="A949">
        <v>948</v>
      </c>
      <c r="B949" s="1">
        <v>45715</v>
      </c>
      <c r="C949" s="2" t="s">
        <v>13</v>
      </c>
      <c r="D949">
        <v>94.7</v>
      </c>
      <c r="E949">
        <v>113</v>
      </c>
      <c r="F949">
        <v>10701.1</v>
      </c>
    </row>
    <row r="950" spans="1:6" x14ac:dyDescent="0.25">
      <c r="A950">
        <v>949</v>
      </c>
      <c r="B950" s="1">
        <v>45692</v>
      </c>
      <c r="C950" s="2" t="s">
        <v>28</v>
      </c>
      <c r="D950">
        <v>83.46</v>
      </c>
      <c r="E950">
        <v>53</v>
      </c>
      <c r="F950">
        <v>4423.38</v>
      </c>
    </row>
    <row r="951" spans="1:6" x14ac:dyDescent="0.25">
      <c r="A951">
        <v>950</v>
      </c>
      <c r="B951" s="1">
        <v>45736</v>
      </c>
      <c r="C951" s="2" t="s">
        <v>25</v>
      </c>
      <c r="D951">
        <v>88.27</v>
      </c>
      <c r="E951">
        <v>94</v>
      </c>
      <c r="F951">
        <v>8297.3799999999992</v>
      </c>
    </row>
    <row r="952" spans="1:6" x14ac:dyDescent="0.25">
      <c r="A952">
        <v>951</v>
      </c>
      <c r="B952" s="1">
        <v>45743</v>
      </c>
      <c r="C952" s="2" t="s">
        <v>28</v>
      </c>
      <c r="D952">
        <v>57.93</v>
      </c>
      <c r="E952">
        <v>100</v>
      </c>
      <c r="F952">
        <v>5793</v>
      </c>
    </row>
    <row r="953" spans="1:6" x14ac:dyDescent="0.25">
      <c r="A953">
        <v>952</v>
      </c>
      <c r="B953" s="1">
        <v>45750</v>
      </c>
      <c r="C953" s="2" t="s">
        <v>10</v>
      </c>
      <c r="D953">
        <v>61.32</v>
      </c>
      <c r="E953">
        <v>39</v>
      </c>
      <c r="F953">
        <v>2391.48</v>
      </c>
    </row>
    <row r="954" spans="1:6" x14ac:dyDescent="0.25">
      <c r="A954">
        <v>953</v>
      </c>
      <c r="B954" s="1">
        <v>45702</v>
      </c>
      <c r="C954" s="2" t="s">
        <v>21</v>
      </c>
      <c r="D954">
        <v>17.670000000000002</v>
      </c>
      <c r="E954">
        <v>107</v>
      </c>
      <c r="F954">
        <v>1890.6900000000003</v>
      </c>
    </row>
    <row r="955" spans="1:6" x14ac:dyDescent="0.25">
      <c r="A955">
        <v>954</v>
      </c>
      <c r="B955" s="1">
        <v>45667</v>
      </c>
      <c r="C955" s="2" t="s">
        <v>7</v>
      </c>
      <c r="D955">
        <v>45.45</v>
      </c>
      <c r="E955">
        <v>108</v>
      </c>
      <c r="F955">
        <v>4908.6000000000004</v>
      </c>
    </row>
    <row r="956" spans="1:6" x14ac:dyDescent="0.25">
      <c r="A956">
        <v>955</v>
      </c>
      <c r="B956" s="1">
        <v>45681</v>
      </c>
      <c r="C956" s="2" t="s">
        <v>28</v>
      </c>
      <c r="D956">
        <v>64.87</v>
      </c>
      <c r="E956">
        <v>104</v>
      </c>
      <c r="F956">
        <v>6746.4800000000005</v>
      </c>
    </row>
    <row r="957" spans="1:6" x14ac:dyDescent="0.25">
      <c r="A957">
        <v>956</v>
      </c>
      <c r="B957" s="1">
        <v>45667</v>
      </c>
      <c r="C957" s="2" t="s">
        <v>21</v>
      </c>
      <c r="D957">
        <v>37.92</v>
      </c>
      <c r="E957">
        <v>84</v>
      </c>
      <c r="F957">
        <v>3185.28</v>
      </c>
    </row>
    <row r="958" spans="1:6" x14ac:dyDescent="0.25">
      <c r="A958">
        <v>957</v>
      </c>
      <c r="B958" s="1">
        <v>45714</v>
      </c>
      <c r="C958" s="2" t="s">
        <v>13</v>
      </c>
      <c r="D958">
        <v>24.4</v>
      </c>
      <c r="E958">
        <v>205</v>
      </c>
      <c r="F958">
        <v>5002</v>
      </c>
    </row>
    <row r="959" spans="1:6" x14ac:dyDescent="0.25">
      <c r="A959">
        <v>958</v>
      </c>
      <c r="B959" s="1">
        <v>45741</v>
      </c>
      <c r="C959" s="2" t="s">
        <v>22</v>
      </c>
      <c r="D959">
        <v>70.64</v>
      </c>
      <c r="E959">
        <v>156</v>
      </c>
      <c r="F959">
        <v>11019.84</v>
      </c>
    </row>
    <row r="960" spans="1:6" x14ac:dyDescent="0.25">
      <c r="A960">
        <v>959</v>
      </c>
      <c r="B960" s="1">
        <v>45658</v>
      </c>
      <c r="C960" s="2" t="s">
        <v>11</v>
      </c>
      <c r="D960">
        <v>74.62</v>
      </c>
      <c r="E960">
        <v>38</v>
      </c>
      <c r="F960">
        <v>2835.5600000000004</v>
      </c>
    </row>
    <row r="961" spans="1:6" x14ac:dyDescent="0.25">
      <c r="A961">
        <v>960</v>
      </c>
      <c r="B961" s="1">
        <v>45767</v>
      </c>
      <c r="C961" s="2" t="s">
        <v>24</v>
      </c>
      <c r="D961">
        <v>30.92</v>
      </c>
      <c r="E961">
        <v>24</v>
      </c>
      <c r="F961">
        <v>742.08</v>
      </c>
    </row>
    <row r="962" spans="1:6" x14ac:dyDescent="0.25">
      <c r="A962">
        <v>961</v>
      </c>
      <c r="B962" s="1">
        <v>45738</v>
      </c>
      <c r="C962" s="2" t="s">
        <v>7</v>
      </c>
      <c r="D962">
        <v>64.680000000000007</v>
      </c>
      <c r="E962">
        <v>51</v>
      </c>
      <c r="F962">
        <v>3298.6800000000003</v>
      </c>
    </row>
    <row r="963" spans="1:6" x14ac:dyDescent="0.25">
      <c r="A963">
        <v>962</v>
      </c>
      <c r="B963" s="1">
        <v>45797</v>
      </c>
      <c r="C963" s="2" t="s">
        <v>10</v>
      </c>
      <c r="D963">
        <v>17.760000000000002</v>
      </c>
      <c r="E963">
        <v>66</v>
      </c>
      <c r="F963">
        <v>1172.1600000000001</v>
      </c>
    </row>
    <row r="964" spans="1:6" x14ac:dyDescent="0.25">
      <c r="A964">
        <v>963</v>
      </c>
      <c r="B964" s="1">
        <v>45714</v>
      </c>
      <c r="C964" s="2" t="s">
        <v>19</v>
      </c>
      <c r="D964">
        <v>134.99</v>
      </c>
      <c r="E964">
        <v>97</v>
      </c>
      <c r="F964">
        <v>13094.03</v>
      </c>
    </row>
    <row r="965" spans="1:6" x14ac:dyDescent="0.25">
      <c r="A965">
        <v>964</v>
      </c>
      <c r="B965" s="1">
        <v>45671</v>
      </c>
      <c r="C965" s="2" t="s">
        <v>12</v>
      </c>
      <c r="D965">
        <v>10.86</v>
      </c>
      <c r="E965">
        <v>16</v>
      </c>
      <c r="F965">
        <v>173.76</v>
      </c>
    </row>
    <row r="966" spans="1:6" x14ac:dyDescent="0.25">
      <c r="A966">
        <v>965</v>
      </c>
      <c r="B966" s="1">
        <v>45691</v>
      </c>
      <c r="C966" s="2" t="s">
        <v>13</v>
      </c>
      <c r="D966">
        <v>35.49</v>
      </c>
      <c r="E966">
        <v>72</v>
      </c>
      <c r="F966">
        <v>2555.2800000000002</v>
      </c>
    </row>
    <row r="967" spans="1:6" x14ac:dyDescent="0.25">
      <c r="A967">
        <v>966</v>
      </c>
      <c r="B967" s="1">
        <v>45764</v>
      </c>
      <c r="C967" s="2" t="s">
        <v>26</v>
      </c>
      <c r="D967">
        <v>8.9</v>
      </c>
      <c r="E967">
        <v>42</v>
      </c>
      <c r="F967">
        <v>373.8</v>
      </c>
    </row>
    <row r="968" spans="1:6" x14ac:dyDescent="0.25">
      <c r="A968">
        <v>967</v>
      </c>
      <c r="B968" s="1">
        <v>45672</v>
      </c>
      <c r="C968" s="2" t="s">
        <v>18</v>
      </c>
      <c r="D968">
        <v>62</v>
      </c>
      <c r="E968">
        <v>192</v>
      </c>
      <c r="F968">
        <v>11904</v>
      </c>
    </row>
    <row r="969" spans="1:6" x14ac:dyDescent="0.25">
      <c r="A969">
        <v>968</v>
      </c>
      <c r="B969" s="1">
        <v>45708</v>
      </c>
      <c r="C969" s="2" t="s">
        <v>20</v>
      </c>
      <c r="D969">
        <v>14.36</v>
      </c>
      <c r="E969">
        <v>141</v>
      </c>
      <c r="F969">
        <v>2024.76</v>
      </c>
    </row>
    <row r="970" spans="1:6" x14ac:dyDescent="0.25">
      <c r="A970">
        <v>969</v>
      </c>
      <c r="B970" s="1">
        <v>45783</v>
      </c>
      <c r="C970" s="2" t="s">
        <v>27</v>
      </c>
      <c r="D970">
        <v>87.92</v>
      </c>
      <c r="E970">
        <v>89</v>
      </c>
      <c r="F970">
        <v>7824.88</v>
      </c>
    </row>
    <row r="971" spans="1:6" x14ac:dyDescent="0.25">
      <c r="A971">
        <v>970</v>
      </c>
      <c r="B971" s="1">
        <v>45823</v>
      </c>
      <c r="C971" s="2" t="s">
        <v>25</v>
      </c>
      <c r="D971">
        <v>51.43</v>
      </c>
      <c r="E971">
        <v>41</v>
      </c>
      <c r="F971">
        <v>2108.63</v>
      </c>
    </row>
    <row r="972" spans="1:6" x14ac:dyDescent="0.25">
      <c r="A972">
        <v>971</v>
      </c>
      <c r="B972" s="1">
        <v>45835</v>
      </c>
      <c r="C972" s="2" t="s">
        <v>24</v>
      </c>
      <c r="D972">
        <v>83.82</v>
      </c>
      <c r="E972">
        <v>40</v>
      </c>
      <c r="F972">
        <v>3352.7999999999997</v>
      </c>
    </row>
    <row r="973" spans="1:6" x14ac:dyDescent="0.25">
      <c r="A973">
        <v>972</v>
      </c>
      <c r="B973" s="1">
        <v>45704</v>
      </c>
      <c r="C973" s="2" t="s">
        <v>29</v>
      </c>
      <c r="D973">
        <v>101.44</v>
      </c>
      <c r="E973">
        <v>75</v>
      </c>
      <c r="F973">
        <v>7608</v>
      </c>
    </row>
    <row r="974" spans="1:6" x14ac:dyDescent="0.25">
      <c r="A974">
        <v>973</v>
      </c>
      <c r="B974" s="1">
        <v>45786</v>
      </c>
      <c r="C974" s="2" t="s">
        <v>30</v>
      </c>
      <c r="D974">
        <v>71.19</v>
      </c>
      <c r="E974">
        <v>78</v>
      </c>
      <c r="F974">
        <v>5552.82</v>
      </c>
    </row>
    <row r="975" spans="1:6" x14ac:dyDescent="0.25">
      <c r="A975">
        <v>974</v>
      </c>
      <c r="B975" s="1">
        <v>45755</v>
      </c>
      <c r="C975" s="2" t="s">
        <v>20</v>
      </c>
      <c r="D975">
        <v>13.2</v>
      </c>
      <c r="E975">
        <v>162</v>
      </c>
      <c r="F975">
        <v>2138.4</v>
      </c>
    </row>
    <row r="976" spans="1:6" x14ac:dyDescent="0.25">
      <c r="A976">
        <v>975</v>
      </c>
      <c r="B976" s="1">
        <v>45805</v>
      </c>
      <c r="C976" s="2" t="s">
        <v>29</v>
      </c>
      <c r="D976">
        <v>16.09</v>
      </c>
      <c r="E976">
        <v>68</v>
      </c>
      <c r="F976">
        <v>1094.1199999999999</v>
      </c>
    </row>
    <row r="977" spans="1:6" x14ac:dyDescent="0.25">
      <c r="A977">
        <v>976</v>
      </c>
      <c r="B977" s="1">
        <v>45677</v>
      </c>
      <c r="C977" s="2" t="s">
        <v>19</v>
      </c>
      <c r="D977">
        <v>150.28</v>
      </c>
      <c r="E977">
        <v>121</v>
      </c>
      <c r="F977">
        <v>18183.88</v>
      </c>
    </row>
    <row r="978" spans="1:6" x14ac:dyDescent="0.25">
      <c r="A978">
        <v>977</v>
      </c>
      <c r="B978" s="1">
        <v>45688</v>
      </c>
      <c r="C978" s="2" t="s">
        <v>13</v>
      </c>
      <c r="D978">
        <v>116.98</v>
      </c>
      <c r="E978">
        <v>88</v>
      </c>
      <c r="F978">
        <v>10294.24</v>
      </c>
    </row>
    <row r="979" spans="1:6" x14ac:dyDescent="0.25">
      <c r="A979">
        <v>978</v>
      </c>
      <c r="B979" s="1">
        <v>45759</v>
      </c>
      <c r="C979" s="2" t="s">
        <v>24</v>
      </c>
      <c r="D979">
        <v>73.91</v>
      </c>
      <c r="E979">
        <v>227</v>
      </c>
      <c r="F979">
        <v>16777.57</v>
      </c>
    </row>
    <row r="980" spans="1:6" x14ac:dyDescent="0.25">
      <c r="A980">
        <v>979</v>
      </c>
      <c r="B980" s="1">
        <v>45823</v>
      </c>
      <c r="C980" s="2" t="s">
        <v>19</v>
      </c>
      <c r="D980">
        <v>44.23</v>
      </c>
      <c r="E980">
        <v>34</v>
      </c>
      <c r="F980">
        <v>1503.82</v>
      </c>
    </row>
    <row r="981" spans="1:6" x14ac:dyDescent="0.25">
      <c r="A981">
        <v>980</v>
      </c>
      <c r="B981" s="1">
        <v>45771</v>
      </c>
      <c r="C981" s="2" t="s">
        <v>24</v>
      </c>
      <c r="D981">
        <v>45.97</v>
      </c>
      <c r="E981">
        <v>113</v>
      </c>
      <c r="F981">
        <v>5194.6099999999997</v>
      </c>
    </row>
    <row r="982" spans="1:6" x14ac:dyDescent="0.25">
      <c r="A982">
        <v>981</v>
      </c>
      <c r="B982" s="1">
        <v>45710</v>
      </c>
      <c r="C982" s="2" t="s">
        <v>9</v>
      </c>
      <c r="D982">
        <v>30.5</v>
      </c>
      <c r="E982">
        <v>153</v>
      </c>
      <c r="F982">
        <v>4666.5</v>
      </c>
    </row>
    <row r="983" spans="1:6" x14ac:dyDescent="0.25">
      <c r="A983">
        <v>982</v>
      </c>
      <c r="B983" s="1">
        <v>45777</v>
      </c>
      <c r="C983" s="2" t="s">
        <v>7</v>
      </c>
      <c r="D983">
        <v>9.2200000000000006</v>
      </c>
      <c r="E983">
        <v>135</v>
      </c>
      <c r="F983">
        <v>1244.7</v>
      </c>
    </row>
    <row r="984" spans="1:6" x14ac:dyDescent="0.25">
      <c r="A984">
        <v>983</v>
      </c>
      <c r="B984" s="1">
        <v>45659</v>
      </c>
      <c r="C984" s="2" t="s">
        <v>26</v>
      </c>
      <c r="D984">
        <v>21.57</v>
      </c>
      <c r="E984">
        <v>144</v>
      </c>
      <c r="F984">
        <v>3106.08</v>
      </c>
    </row>
    <row r="985" spans="1:6" x14ac:dyDescent="0.25">
      <c r="A985">
        <v>984</v>
      </c>
      <c r="B985" s="1">
        <v>45722</v>
      </c>
      <c r="C985" s="2" t="s">
        <v>22</v>
      </c>
      <c r="D985">
        <v>111.6</v>
      </c>
      <c r="E985">
        <v>177</v>
      </c>
      <c r="F985">
        <v>19753.2</v>
      </c>
    </row>
    <row r="986" spans="1:6" x14ac:dyDescent="0.25">
      <c r="A986">
        <v>985</v>
      </c>
      <c r="B986" s="1">
        <v>45728</v>
      </c>
      <c r="C986" s="2" t="s">
        <v>17</v>
      </c>
      <c r="D986">
        <v>58.99</v>
      </c>
      <c r="E986">
        <v>56</v>
      </c>
      <c r="F986">
        <v>3303.44</v>
      </c>
    </row>
    <row r="987" spans="1:6" x14ac:dyDescent="0.25">
      <c r="A987">
        <v>986</v>
      </c>
      <c r="B987" s="1">
        <v>45786</v>
      </c>
      <c r="C987" s="2" t="s">
        <v>11</v>
      </c>
      <c r="D987">
        <v>92.13</v>
      </c>
      <c r="E987">
        <v>37</v>
      </c>
      <c r="F987">
        <v>3408.81</v>
      </c>
    </row>
    <row r="988" spans="1:6" x14ac:dyDescent="0.25">
      <c r="A988">
        <v>987</v>
      </c>
      <c r="B988" s="1">
        <v>45832</v>
      </c>
      <c r="C988" s="2" t="s">
        <v>10</v>
      </c>
      <c r="D988">
        <v>118.09</v>
      </c>
      <c r="E988">
        <v>18</v>
      </c>
      <c r="F988">
        <v>2125.62</v>
      </c>
    </row>
    <row r="989" spans="1:6" x14ac:dyDescent="0.25">
      <c r="A989">
        <v>988</v>
      </c>
      <c r="B989" s="1">
        <v>45772</v>
      </c>
      <c r="C989" s="2" t="s">
        <v>9</v>
      </c>
      <c r="D989">
        <v>93.98</v>
      </c>
      <c r="E989">
        <v>96</v>
      </c>
      <c r="F989">
        <v>9022.08</v>
      </c>
    </row>
    <row r="990" spans="1:6" x14ac:dyDescent="0.25">
      <c r="A990">
        <v>989</v>
      </c>
      <c r="B990" s="1">
        <v>45758</v>
      </c>
      <c r="C990" s="2" t="s">
        <v>14</v>
      </c>
      <c r="D990">
        <v>21.62</v>
      </c>
      <c r="E990">
        <v>22</v>
      </c>
      <c r="F990">
        <v>475.64000000000004</v>
      </c>
    </row>
    <row r="991" spans="1:6" x14ac:dyDescent="0.25">
      <c r="A991">
        <v>990</v>
      </c>
      <c r="B991" s="1">
        <v>45796</v>
      </c>
      <c r="C991" s="2" t="s">
        <v>18</v>
      </c>
      <c r="D991">
        <v>86.06</v>
      </c>
      <c r="E991">
        <v>91</v>
      </c>
      <c r="F991">
        <v>7831.46</v>
      </c>
    </row>
    <row r="992" spans="1:6" x14ac:dyDescent="0.25">
      <c r="A992">
        <v>991</v>
      </c>
      <c r="B992" s="1">
        <v>45658</v>
      </c>
      <c r="C992" s="2" t="s">
        <v>23</v>
      </c>
      <c r="D992">
        <v>72.87</v>
      </c>
      <c r="E992">
        <v>183</v>
      </c>
      <c r="F992">
        <v>13335.210000000001</v>
      </c>
    </row>
    <row r="993" spans="1:6" x14ac:dyDescent="0.25">
      <c r="A993">
        <v>992</v>
      </c>
      <c r="B993" s="1">
        <v>45680</v>
      </c>
      <c r="C993" s="2" t="s">
        <v>23</v>
      </c>
      <c r="D993">
        <v>62.6</v>
      </c>
      <c r="E993">
        <v>98</v>
      </c>
      <c r="F993">
        <v>6134.8</v>
      </c>
    </row>
    <row r="994" spans="1:6" x14ac:dyDescent="0.25">
      <c r="A994">
        <v>993</v>
      </c>
      <c r="B994" s="1">
        <v>45824</v>
      </c>
      <c r="C994" s="2" t="s">
        <v>9</v>
      </c>
      <c r="D994">
        <v>52.22</v>
      </c>
      <c r="E994">
        <v>72</v>
      </c>
      <c r="F994">
        <v>3759.84</v>
      </c>
    </row>
    <row r="995" spans="1:6" x14ac:dyDescent="0.25">
      <c r="A995">
        <v>994</v>
      </c>
      <c r="B995" s="1">
        <v>45799</v>
      </c>
      <c r="C995" s="2" t="s">
        <v>24</v>
      </c>
      <c r="D995">
        <v>58.37</v>
      </c>
      <c r="E995">
        <v>214</v>
      </c>
      <c r="F995">
        <v>12491.18</v>
      </c>
    </row>
    <row r="996" spans="1:6" x14ac:dyDescent="0.25">
      <c r="A996">
        <v>995</v>
      </c>
      <c r="B996" s="1">
        <v>45798</v>
      </c>
      <c r="C996" s="2" t="s">
        <v>19</v>
      </c>
      <c r="D996">
        <v>96.94</v>
      </c>
      <c r="E996">
        <v>80</v>
      </c>
      <c r="F996">
        <v>7755.2</v>
      </c>
    </row>
    <row r="997" spans="1:6" x14ac:dyDescent="0.25">
      <c r="A997">
        <v>996</v>
      </c>
      <c r="B997" s="1">
        <v>45715</v>
      </c>
      <c r="C997" s="2" t="s">
        <v>24</v>
      </c>
      <c r="D997">
        <v>76</v>
      </c>
      <c r="E997">
        <v>227</v>
      </c>
      <c r="F997">
        <v>17252</v>
      </c>
    </row>
    <row r="998" spans="1:6" x14ac:dyDescent="0.25">
      <c r="A998">
        <v>997</v>
      </c>
      <c r="B998" s="1">
        <v>45808</v>
      </c>
      <c r="C998" s="2" t="s">
        <v>14</v>
      </c>
      <c r="D998">
        <v>127.35</v>
      </c>
      <c r="E998">
        <v>161</v>
      </c>
      <c r="F998">
        <v>20503.349999999999</v>
      </c>
    </row>
    <row r="999" spans="1:6" x14ac:dyDescent="0.25">
      <c r="A999">
        <v>998</v>
      </c>
      <c r="B999" s="1">
        <v>45744</v>
      </c>
      <c r="C999" s="2" t="s">
        <v>8</v>
      </c>
      <c r="D999">
        <v>6.19</v>
      </c>
      <c r="E999">
        <v>127</v>
      </c>
      <c r="F999">
        <v>786.13</v>
      </c>
    </row>
    <row r="1000" spans="1:6" x14ac:dyDescent="0.25">
      <c r="A1000">
        <v>999</v>
      </c>
      <c r="B1000" s="1">
        <v>45744</v>
      </c>
      <c r="C1000" s="2" t="s">
        <v>28</v>
      </c>
      <c r="D1000">
        <v>85.5</v>
      </c>
      <c r="E1000">
        <v>17</v>
      </c>
      <c r="F1000">
        <v>1453.5</v>
      </c>
    </row>
    <row r="1001" spans="1:6" x14ac:dyDescent="0.25">
      <c r="A1001">
        <v>1000</v>
      </c>
      <c r="B1001" s="1">
        <v>45740</v>
      </c>
      <c r="C1001" s="2" t="s">
        <v>21</v>
      </c>
      <c r="D1001">
        <v>92.03</v>
      </c>
      <c r="E1001">
        <v>32</v>
      </c>
      <c r="F1001">
        <v>2944.96</v>
      </c>
    </row>
    <row r="1002" spans="1:6" x14ac:dyDescent="0.25">
      <c r="A1002">
        <v>1001</v>
      </c>
      <c r="B1002" s="1">
        <v>45660</v>
      </c>
      <c r="C1002" s="2" t="s">
        <v>28</v>
      </c>
      <c r="D1002">
        <v>123.39</v>
      </c>
      <c r="E1002">
        <v>152</v>
      </c>
      <c r="F1002">
        <v>18755.28</v>
      </c>
    </row>
    <row r="1003" spans="1:6" x14ac:dyDescent="0.25">
      <c r="A1003">
        <v>1002</v>
      </c>
      <c r="B1003" s="1">
        <v>45694</v>
      </c>
      <c r="C1003" s="2" t="s">
        <v>10</v>
      </c>
      <c r="D1003">
        <v>34.71</v>
      </c>
      <c r="E1003">
        <v>56</v>
      </c>
      <c r="F1003">
        <v>1943.76</v>
      </c>
    </row>
    <row r="1004" spans="1:6" x14ac:dyDescent="0.25">
      <c r="A1004">
        <v>1003</v>
      </c>
      <c r="B1004" s="1">
        <v>45744</v>
      </c>
      <c r="C1004" s="2" t="s">
        <v>14</v>
      </c>
      <c r="D1004">
        <v>83.84</v>
      </c>
      <c r="E1004">
        <v>87</v>
      </c>
      <c r="F1004">
        <v>7294.08</v>
      </c>
    </row>
    <row r="1005" spans="1:6" x14ac:dyDescent="0.25">
      <c r="A1005">
        <v>1004</v>
      </c>
      <c r="B1005" s="1">
        <v>45685</v>
      </c>
      <c r="C1005" s="2" t="s">
        <v>14</v>
      </c>
      <c r="D1005">
        <v>73.680000000000007</v>
      </c>
      <c r="E1005">
        <v>79</v>
      </c>
      <c r="F1005">
        <v>5820.72</v>
      </c>
    </row>
    <row r="1006" spans="1:6" x14ac:dyDescent="0.25">
      <c r="A1006">
        <v>1005</v>
      </c>
      <c r="B1006" s="1">
        <v>45747</v>
      </c>
      <c r="C1006" s="2" t="s">
        <v>10</v>
      </c>
      <c r="D1006">
        <v>63.7</v>
      </c>
      <c r="E1006">
        <v>140</v>
      </c>
      <c r="F1006">
        <v>8918</v>
      </c>
    </row>
    <row r="1007" spans="1:6" x14ac:dyDescent="0.25">
      <c r="A1007">
        <v>1006</v>
      </c>
      <c r="B1007" s="1">
        <v>45667</v>
      </c>
      <c r="C1007" s="2" t="s">
        <v>6</v>
      </c>
      <c r="D1007">
        <v>7.34</v>
      </c>
      <c r="E1007">
        <v>37</v>
      </c>
      <c r="F1007">
        <v>271.58</v>
      </c>
    </row>
    <row r="1008" spans="1:6" x14ac:dyDescent="0.25">
      <c r="A1008">
        <v>1007</v>
      </c>
      <c r="B1008" s="1">
        <v>45659</v>
      </c>
      <c r="C1008" s="2" t="s">
        <v>22</v>
      </c>
      <c r="D1008">
        <v>8.85</v>
      </c>
      <c r="E1008">
        <v>109</v>
      </c>
      <c r="F1008">
        <v>964.65</v>
      </c>
    </row>
    <row r="1009" spans="1:6" x14ac:dyDescent="0.25">
      <c r="A1009">
        <v>1008</v>
      </c>
      <c r="B1009" s="1">
        <v>45745</v>
      </c>
      <c r="C1009" s="2" t="s">
        <v>22</v>
      </c>
      <c r="D1009">
        <v>4.51</v>
      </c>
      <c r="E1009">
        <v>54</v>
      </c>
      <c r="F1009">
        <v>243.54</v>
      </c>
    </row>
    <row r="1010" spans="1:6" x14ac:dyDescent="0.25">
      <c r="A1010">
        <v>1009</v>
      </c>
      <c r="B1010" s="1">
        <v>45827</v>
      </c>
      <c r="C1010" s="2" t="s">
        <v>12</v>
      </c>
      <c r="D1010">
        <v>82.17</v>
      </c>
      <c r="E1010">
        <v>102</v>
      </c>
      <c r="F1010">
        <v>8381.34</v>
      </c>
    </row>
    <row r="1011" spans="1:6" x14ac:dyDescent="0.25">
      <c r="A1011">
        <v>1010</v>
      </c>
      <c r="B1011" s="1">
        <v>45671</v>
      </c>
      <c r="C1011" s="2" t="s">
        <v>21</v>
      </c>
      <c r="D1011">
        <v>137.32</v>
      </c>
      <c r="E1011">
        <v>58</v>
      </c>
      <c r="F1011">
        <v>7964.5599999999995</v>
      </c>
    </row>
    <row r="1012" spans="1:6" x14ac:dyDescent="0.25">
      <c r="A1012">
        <v>1011</v>
      </c>
      <c r="B1012" s="1">
        <v>45729</v>
      </c>
      <c r="C1012" s="2" t="s">
        <v>29</v>
      </c>
      <c r="D1012">
        <v>51.55</v>
      </c>
      <c r="E1012">
        <v>117</v>
      </c>
      <c r="F1012">
        <v>6031.3499999999995</v>
      </c>
    </row>
    <row r="1013" spans="1:6" x14ac:dyDescent="0.25">
      <c r="A1013">
        <v>1012</v>
      </c>
      <c r="B1013" s="1">
        <v>45748</v>
      </c>
      <c r="C1013" s="2" t="s">
        <v>25</v>
      </c>
      <c r="D1013">
        <v>71.03</v>
      </c>
      <c r="E1013">
        <v>175</v>
      </c>
      <c r="F1013">
        <v>12430.25</v>
      </c>
    </row>
    <row r="1014" spans="1:6" x14ac:dyDescent="0.25">
      <c r="A1014">
        <v>1013</v>
      </c>
      <c r="B1014" s="1">
        <v>45673</v>
      </c>
      <c r="C1014" s="2" t="s">
        <v>13</v>
      </c>
      <c r="D1014">
        <v>34.76</v>
      </c>
      <c r="E1014">
        <v>94</v>
      </c>
      <c r="F1014">
        <v>3267.4399999999996</v>
      </c>
    </row>
    <row r="1015" spans="1:6" x14ac:dyDescent="0.25">
      <c r="A1015">
        <v>1014</v>
      </c>
      <c r="B1015" s="1">
        <v>45769</v>
      </c>
      <c r="C1015" s="2" t="s">
        <v>26</v>
      </c>
      <c r="D1015">
        <v>36.5</v>
      </c>
      <c r="E1015">
        <v>171</v>
      </c>
      <c r="F1015">
        <v>6241.5</v>
      </c>
    </row>
    <row r="1016" spans="1:6" x14ac:dyDescent="0.25">
      <c r="A1016">
        <v>1015</v>
      </c>
      <c r="B1016" s="1">
        <v>45671</v>
      </c>
      <c r="C1016" s="2" t="s">
        <v>8</v>
      </c>
      <c r="D1016">
        <v>11.74</v>
      </c>
      <c r="E1016">
        <v>154</v>
      </c>
      <c r="F1016">
        <v>1807.96</v>
      </c>
    </row>
    <row r="1017" spans="1:6" x14ac:dyDescent="0.25">
      <c r="A1017">
        <v>1016</v>
      </c>
      <c r="B1017" s="1">
        <v>45755</v>
      </c>
      <c r="C1017" s="2" t="s">
        <v>9</v>
      </c>
      <c r="D1017">
        <v>29.38</v>
      </c>
      <c r="E1017">
        <v>124</v>
      </c>
      <c r="F1017">
        <v>3643.12</v>
      </c>
    </row>
    <row r="1018" spans="1:6" x14ac:dyDescent="0.25">
      <c r="A1018">
        <v>1017</v>
      </c>
      <c r="B1018" s="1">
        <v>45676</v>
      </c>
      <c r="C1018" s="2" t="s">
        <v>23</v>
      </c>
      <c r="D1018">
        <v>97.21</v>
      </c>
      <c r="E1018">
        <v>68</v>
      </c>
      <c r="F1018">
        <v>6610.28</v>
      </c>
    </row>
    <row r="1019" spans="1:6" x14ac:dyDescent="0.25">
      <c r="A1019">
        <v>1018</v>
      </c>
      <c r="B1019" s="1">
        <v>45820</v>
      </c>
      <c r="C1019" s="2" t="s">
        <v>28</v>
      </c>
      <c r="D1019">
        <v>70.92</v>
      </c>
      <c r="E1019">
        <v>55</v>
      </c>
      <c r="F1019">
        <v>3900.6</v>
      </c>
    </row>
    <row r="1020" spans="1:6" x14ac:dyDescent="0.25">
      <c r="A1020">
        <v>1019</v>
      </c>
      <c r="B1020" s="1">
        <v>45780</v>
      </c>
      <c r="C1020" s="2" t="s">
        <v>29</v>
      </c>
      <c r="D1020">
        <v>90.59</v>
      </c>
      <c r="E1020">
        <v>49</v>
      </c>
      <c r="F1020">
        <v>4438.91</v>
      </c>
    </row>
    <row r="1021" spans="1:6" x14ac:dyDescent="0.25">
      <c r="A1021">
        <v>1020</v>
      </c>
      <c r="B1021" s="1">
        <v>45744</v>
      </c>
      <c r="C1021" s="2" t="s">
        <v>30</v>
      </c>
      <c r="D1021">
        <v>41.5</v>
      </c>
      <c r="E1021">
        <v>95</v>
      </c>
      <c r="F1021">
        <v>3942.5</v>
      </c>
    </row>
    <row r="1022" spans="1:6" x14ac:dyDescent="0.25">
      <c r="A1022">
        <v>1021</v>
      </c>
      <c r="B1022" s="1">
        <v>45786</v>
      </c>
      <c r="C1022" s="2" t="s">
        <v>11</v>
      </c>
      <c r="D1022">
        <v>39.630000000000003</v>
      </c>
      <c r="E1022">
        <v>186</v>
      </c>
      <c r="F1022">
        <v>7371.18</v>
      </c>
    </row>
    <row r="1023" spans="1:6" x14ac:dyDescent="0.25">
      <c r="A1023">
        <v>1022</v>
      </c>
      <c r="B1023" s="1">
        <v>45682</v>
      </c>
      <c r="C1023" s="2" t="s">
        <v>17</v>
      </c>
      <c r="D1023">
        <v>61.28</v>
      </c>
      <c r="E1023">
        <v>95</v>
      </c>
      <c r="F1023">
        <v>5821.6</v>
      </c>
    </row>
    <row r="1024" spans="1:6" x14ac:dyDescent="0.25">
      <c r="A1024">
        <v>1023</v>
      </c>
      <c r="B1024" s="1">
        <v>45778</v>
      </c>
      <c r="C1024" s="2" t="s">
        <v>11</v>
      </c>
      <c r="D1024">
        <v>10.98</v>
      </c>
      <c r="E1024">
        <v>33</v>
      </c>
      <c r="F1024">
        <v>362.34000000000003</v>
      </c>
    </row>
    <row r="1025" spans="1:6" x14ac:dyDescent="0.25">
      <c r="A1025">
        <v>1024</v>
      </c>
      <c r="B1025" s="1">
        <v>45707</v>
      </c>
      <c r="C1025" s="2" t="s">
        <v>12</v>
      </c>
      <c r="D1025">
        <v>4.59</v>
      </c>
      <c r="E1025">
        <v>187</v>
      </c>
      <c r="F1025">
        <v>858.32999999999993</v>
      </c>
    </row>
    <row r="1026" spans="1:6" x14ac:dyDescent="0.25">
      <c r="A1026">
        <v>1025</v>
      </c>
      <c r="B1026" s="1">
        <v>45821</v>
      </c>
      <c r="C1026" s="2" t="s">
        <v>6</v>
      </c>
      <c r="D1026">
        <v>80.290000000000006</v>
      </c>
      <c r="E1026">
        <v>291</v>
      </c>
      <c r="F1026">
        <v>23364.390000000003</v>
      </c>
    </row>
    <row r="1027" spans="1:6" x14ac:dyDescent="0.25">
      <c r="A1027">
        <v>1026</v>
      </c>
      <c r="B1027" s="1">
        <v>45727</v>
      </c>
      <c r="C1027" s="2" t="s">
        <v>30</v>
      </c>
      <c r="D1027">
        <v>49.12</v>
      </c>
      <c r="E1027">
        <v>106</v>
      </c>
      <c r="F1027">
        <v>5206.7199999999993</v>
      </c>
    </row>
    <row r="1028" spans="1:6" x14ac:dyDescent="0.25">
      <c r="A1028">
        <v>1027</v>
      </c>
      <c r="B1028" s="1">
        <v>45833</v>
      </c>
      <c r="C1028" s="2" t="s">
        <v>9</v>
      </c>
      <c r="D1028">
        <v>70.28</v>
      </c>
      <c r="E1028">
        <v>18</v>
      </c>
      <c r="F1028">
        <v>1265.04</v>
      </c>
    </row>
    <row r="1029" spans="1:6" x14ac:dyDescent="0.25">
      <c r="A1029">
        <v>1028</v>
      </c>
      <c r="B1029" s="1">
        <v>45764</v>
      </c>
      <c r="C1029" s="2" t="s">
        <v>13</v>
      </c>
      <c r="D1029">
        <v>18.739999999999998</v>
      </c>
      <c r="E1029">
        <v>71</v>
      </c>
      <c r="F1029">
        <v>1330.54</v>
      </c>
    </row>
    <row r="1030" spans="1:6" x14ac:dyDescent="0.25">
      <c r="A1030">
        <v>1029</v>
      </c>
      <c r="B1030" s="1">
        <v>45794</v>
      </c>
      <c r="C1030" s="2" t="s">
        <v>14</v>
      </c>
      <c r="D1030">
        <v>71.37</v>
      </c>
      <c r="E1030">
        <v>28</v>
      </c>
      <c r="F1030">
        <v>1998.3600000000001</v>
      </c>
    </row>
    <row r="1031" spans="1:6" x14ac:dyDescent="0.25">
      <c r="A1031">
        <v>1030</v>
      </c>
      <c r="B1031" s="1">
        <v>45836</v>
      </c>
      <c r="C1031" s="2" t="s">
        <v>27</v>
      </c>
      <c r="D1031">
        <v>38.909999999999997</v>
      </c>
      <c r="E1031">
        <v>116</v>
      </c>
      <c r="F1031">
        <v>4513.5599999999995</v>
      </c>
    </row>
    <row r="1032" spans="1:6" x14ac:dyDescent="0.25">
      <c r="A1032">
        <v>1031</v>
      </c>
      <c r="B1032" s="1">
        <v>45677</v>
      </c>
      <c r="C1032" s="2" t="s">
        <v>21</v>
      </c>
      <c r="D1032">
        <v>63.61</v>
      </c>
      <c r="E1032">
        <v>21</v>
      </c>
      <c r="F1032">
        <v>1335.81</v>
      </c>
    </row>
    <row r="1033" spans="1:6" x14ac:dyDescent="0.25">
      <c r="A1033">
        <v>1032</v>
      </c>
      <c r="B1033" s="1">
        <v>45768</v>
      </c>
      <c r="C1033" s="2" t="s">
        <v>26</v>
      </c>
      <c r="D1033">
        <v>14.86</v>
      </c>
      <c r="E1033">
        <v>155</v>
      </c>
      <c r="F1033">
        <v>2303.2999999999997</v>
      </c>
    </row>
    <row r="1034" spans="1:6" x14ac:dyDescent="0.25">
      <c r="A1034">
        <v>1033</v>
      </c>
      <c r="B1034" s="1">
        <v>45802</v>
      </c>
      <c r="C1034" s="2" t="s">
        <v>12</v>
      </c>
      <c r="D1034">
        <v>88.42</v>
      </c>
      <c r="E1034">
        <v>191</v>
      </c>
      <c r="F1034">
        <v>16888.22</v>
      </c>
    </row>
    <row r="1035" spans="1:6" x14ac:dyDescent="0.25">
      <c r="A1035">
        <v>1034</v>
      </c>
      <c r="B1035" s="1">
        <v>45677</v>
      </c>
      <c r="C1035" s="2" t="s">
        <v>30</v>
      </c>
      <c r="D1035">
        <v>90.85</v>
      </c>
      <c r="E1035">
        <v>114</v>
      </c>
      <c r="F1035">
        <v>10356.9</v>
      </c>
    </row>
    <row r="1036" spans="1:6" x14ac:dyDescent="0.25">
      <c r="A1036">
        <v>1035</v>
      </c>
      <c r="B1036" s="1">
        <v>45731</v>
      </c>
      <c r="C1036" s="2" t="s">
        <v>14</v>
      </c>
      <c r="D1036">
        <v>77.97</v>
      </c>
      <c r="E1036">
        <v>92</v>
      </c>
      <c r="F1036">
        <v>7173.24</v>
      </c>
    </row>
    <row r="1037" spans="1:6" x14ac:dyDescent="0.25">
      <c r="A1037">
        <v>1036</v>
      </c>
      <c r="B1037" s="1">
        <v>45678</v>
      </c>
      <c r="C1037" s="2" t="s">
        <v>27</v>
      </c>
      <c r="D1037">
        <v>60.17</v>
      </c>
      <c r="E1037">
        <v>49</v>
      </c>
      <c r="F1037">
        <v>2948.33</v>
      </c>
    </row>
    <row r="1038" spans="1:6" x14ac:dyDescent="0.25">
      <c r="A1038">
        <v>1037</v>
      </c>
      <c r="B1038" s="1">
        <v>45743</v>
      </c>
      <c r="C1038" s="2" t="s">
        <v>28</v>
      </c>
      <c r="D1038">
        <v>58.26</v>
      </c>
      <c r="E1038">
        <v>122</v>
      </c>
      <c r="F1038">
        <v>7107.7199999999993</v>
      </c>
    </row>
    <row r="1039" spans="1:6" x14ac:dyDescent="0.25">
      <c r="A1039">
        <v>1038</v>
      </c>
      <c r="B1039" s="1">
        <v>45687</v>
      </c>
      <c r="C1039" s="2" t="s">
        <v>23</v>
      </c>
      <c r="D1039">
        <v>7.78</v>
      </c>
      <c r="E1039">
        <v>111</v>
      </c>
      <c r="F1039">
        <v>863.58</v>
      </c>
    </row>
    <row r="1040" spans="1:6" x14ac:dyDescent="0.25">
      <c r="A1040">
        <v>1039</v>
      </c>
      <c r="B1040" s="1">
        <v>45686</v>
      </c>
      <c r="C1040" s="2" t="s">
        <v>27</v>
      </c>
      <c r="D1040">
        <v>113.62</v>
      </c>
      <c r="E1040">
        <v>83</v>
      </c>
      <c r="F1040">
        <v>9430.4600000000009</v>
      </c>
    </row>
    <row r="1041" spans="1:6" x14ac:dyDescent="0.25">
      <c r="A1041">
        <v>1040</v>
      </c>
      <c r="B1041" s="1">
        <v>45733</v>
      </c>
      <c r="C1041" s="2" t="s">
        <v>26</v>
      </c>
      <c r="D1041">
        <v>151.35</v>
      </c>
      <c r="E1041">
        <v>92</v>
      </c>
      <c r="F1041">
        <v>13924.199999999999</v>
      </c>
    </row>
    <row r="1042" spans="1:6" x14ac:dyDescent="0.25">
      <c r="A1042">
        <v>1041</v>
      </c>
      <c r="B1042" s="1">
        <v>45811</v>
      </c>
      <c r="C1042" s="2" t="s">
        <v>15</v>
      </c>
      <c r="D1042">
        <v>64.739999999999995</v>
      </c>
      <c r="E1042">
        <v>241</v>
      </c>
      <c r="F1042">
        <v>15602.339999999998</v>
      </c>
    </row>
    <row r="1043" spans="1:6" x14ac:dyDescent="0.25">
      <c r="A1043">
        <v>1042</v>
      </c>
      <c r="B1043" s="1">
        <v>45775</v>
      </c>
      <c r="C1043" s="2" t="s">
        <v>23</v>
      </c>
      <c r="D1043">
        <v>102.58</v>
      </c>
      <c r="E1043">
        <v>55</v>
      </c>
      <c r="F1043">
        <v>5641.9</v>
      </c>
    </row>
    <row r="1044" spans="1:6" x14ac:dyDescent="0.25">
      <c r="A1044">
        <v>1043</v>
      </c>
      <c r="B1044" s="1">
        <v>45815</v>
      </c>
      <c r="C1044" s="2" t="s">
        <v>8</v>
      </c>
      <c r="D1044">
        <v>91.02</v>
      </c>
      <c r="E1044">
        <v>49</v>
      </c>
      <c r="F1044">
        <v>4459.9799999999996</v>
      </c>
    </row>
    <row r="1045" spans="1:6" x14ac:dyDescent="0.25">
      <c r="A1045">
        <v>1044</v>
      </c>
      <c r="B1045" s="1">
        <v>45690</v>
      </c>
      <c r="C1045" s="2" t="s">
        <v>28</v>
      </c>
      <c r="D1045">
        <v>42.46</v>
      </c>
      <c r="E1045">
        <v>80</v>
      </c>
      <c r="F1045">
        <v>3396.8</v>
      </c>
    </row>
    <row r="1046" spans="1:6" x14ac:dyDescent="0.25">
      <c r="A1046">
        <v>1045</v>
      </c>
      <c r="B1046" s="1">
        <v>45765</v>
      </c>
      <c r="C1046" s="2" t="s">
        <v>22</v>
      </c>
      <c r="D1046">
        <v>36.54</v>
      </c>
      <c r="E1046">
        <v>56</v>
      </c>
      <c r="F1046">
        <v>2046.24</v>
      </c>
    </row>
    <row r="1047" spans="1:6" x14ac:dyDescent="0.25">
      <c r="A1047">
        <v>1046</v>
      </c>
      <c r="B1047" s="1">
        <v>45694</v>
      </c>
      <c r="C1047" s="2" t="s">
        <v>14</v>
      </c>
      <c r="D1047">
        <v>23.97</v>
      </c>
      <c r="E1047">
        <v>53</v>
      </c>
      <c r="F1047">
        <v>1270.4099999999999</v>
      </c>
    </row>
    <row r="1048" spans="1:6" x14ac:dyDescent="0.25">
      <c r="A1048">
        <v>1047</v>
      </c>
      <c r="B1048" s="1">
        <v>45681</v>
      </c>
      <c r="C1048" s="2" t="s">
        <v>19</v>
      </c>
      <c r="D1048">
        <v>8.18</v>
      </c>
      <c r="E1048">
        <v>131</v>
      </c>
      <c r="F1048">
        <v>1071.58</v>
      </c>
    </row>
    <row r="1049" spans="1:6" x14ac:dyDescent="0.25">
      <c r="A1049">
        <v>1048</v>
      </c>
      <c r="B1049" s="1">
        <v>45685</v>
      </c>
      <c r="C1049" s="2" t="s">
        <v>15</v>
      </c>
      <c r="D1049">
        <v>13.23</v>
      </c>
      <c r="E1049">
        <v>131</v>
      </c>
      <c r="F1049">
        <v>1733.13</v>
      </c>
    </row>
    <row r="1050" spans="1:6" x14ac:dyDescent="0.25">
      <c r="A1050">
        <v>1049</v>
      </c>
      <c r="B1050" s="1">
        <v>45740</v>
      </c>
      <c r="C1050" s="2" t="s">
        <v>20</v>
      </c>
      <c r="D1050">
        <v>45.79</v>
      </c>
      <c r="E1050">
        <v>151</v>
      </c>
      <c r="F1050">
        <v>6914.29</v>
      </c>
    </row>
    <row r="1051" spans="1:6" x14ac:dyDescent="0.25">
      <c r="A1051">
        <v>1050</v>
      </c>
      <c r="B1051" s="1">
        <v>45724</v>
      </c>
      <c r="C1051" s="2" t="s">
        <v>19</v>
      </c>
      <c r="D1051">
        <v>112.32</v>
      </c>
      <c r="E1051">
        <v>23</v>
      </c>
      <c r="F1051">
        <v>2583.3599999999997</v>
      </c>
    </row>
    <row r="1052" spans="1:6" x14ac:dyDescent="0.25">
      <c r="A1052">
        <v>1051</v>
      </c>
      <c r="B1052" s="1">
        <v>45756</v>
      </c>
      <c r="C1052" s="2" t="s">
        <v>12</v>
      </c>
      <c r="D1052">
        <v>44.52</v>
      </c>
      <c r="E1052">
        <v>84</v>
      </c>
      <c r="F1052">
        <v>3739.6800000000003</v>
      </c>
    </row>
    <row r="1053" spans="1:6" x14ac:dyDescent="0.25">
      <c r="A1053">
        <v>1052</v>
      </c>
      <c r="B1053" s="1">
        <v>45820</v>
      </c>
      <c r="C1053" s="2" t="s">
        <v>6</v>
      </c>
      <c r="D1053">
        <v>96.76</v>
      </c>
      <c r="E1053">
        <v>194</v>
      </c>
      <c r="F1053">
        <v>18771.440000000002</v>
      </c>
    </row>
    <row r="1054" spans="1:6" x14ac:dyDescent="0.25">
      <c r="A1054">
        <v>1053</v>
      </c>
      <c r="B1054" s="1">
        <v>45686</v>
      </c>
      <c r="C1054" s="2" t="s">
        <v>26</v>
      </c>
      <c r="D1054">
        <v>125.06</v>
      </c>
      <c r="E1054">
        <v>74</v>
      </c>
      <c r="F1054">
        <v>9254.44</v>
      </c>
    </row>
    <row r="1055" spans="1:6" x14ac:dyDescent="0.25">
      <c r="A1055">
        <v>1054</v>
      </c>
      <c r="B1055" s="1">
        <v>45810</v>
      </c>
      <c r="C1055" s="2" t="s">
        <v>12</v>
      </c>
      <c r="D1055">
        <v>80.33</v>
      </c>
      <c r="E1055">
        <v>202</v>
      </c>
      <c r="F1055">
        <v>16226.66</v>
      </c>
    </row>
    <row r="1056" spans="1:6" x14ac:dyDescent="0.25">
      <c r="A1056">
        <v>1055</v>
      </c>
      <c r="B1056" s="1">
        <v>45818</v>
      </c>
      <c r="C1056" s="2" t="s">
        <v>10</v>
      </c>
      <c r="D1056">
        <v>18.78</v>
      </c>
      <c r="E1056">
        <v>137</v>
      </c>
      <c r="F1056">
        <v>2572.86</v>
      </c>
    </row>
    <row r="1057" spans="1:6" x14ac:dyDescent="0.25">
      <c r="A1057">
        <v>1056</v>
      </c>
      <c r="B1057" s="1">
        <v>45661</v>
      </c>
      <c r="C1057" s="2" t="s">
        <v>19</v>
      </c>
      <c r="D1057">
        <v>106.11</v>
      </c>
      <c r="E1057">
        <v>107</v>
      </c>
      <c r="F1057">
        <v>11353.77</v>
      </c>
    </row>
    <row r="1058" spans="1:6" x14ac:dyDescent="0.25">
      <c r="A1058">
        <v>1057</v>
      </c>
      <c r="B1058" s="1">
        <v>45720</v>
      </c>
      <c r="C1058" s="2" t="s">
        <v>11</v>
      </c>
      <c r="D1058">
        <v>7.36</v>
      </c>
      <c r="E1058">
        <v>90</v>
      </c>
      <c r="F1058">
        <v>662.4</v>
      </c>
    </row>
    <row r="1059" spans="1:6" x14ac:dyDescent="0.25">
      <c r="A1059">
        <v>1058</v>
      </c>
      <c r="B1059" s="1">
        <v>45820</v>
      </c>
      <c r="C1059" s="2" t="s">
        <v>22</v>
      </c>
      <c r="D1059">
        <v>53.79</v>
      </c>
      <c r="E1059">
        <v>179</v>
      </c>
      <c r="F1059">
        <v>9628.41</v>
      </c>
    </row>
    <row r="1060" spans="1:6" x14ac:dyDescent="0.25">
      <c r="A1060">
        <v>1059</v>
      </c>
      <c r="B1060" s="1">
        <v>45792</v>
      </c>
      <c r="C1060" s="2" t="s">
        <v>10</v>
      </c>
      <c r="D1060">
        <v>84.1</v>
      </c>
      <c r="E1060">
        <v>104</v>
      </c>
      <c r="F1060">
        <v>8746.4</v>
      </c>
    </row>
    <row r="1061" spans="1:6" x14ac:dyDescent="0.25">
      <c r="A1061">
        <v>1060</v>
      </c>
      <c r="B1061" s="1">
        <v>45665</v>
      </c>
      <c r="C1061" s="2" t="s">
        <v>27</v>
      </c>
      <c r="D1061">
        <v>19.41</v>
      </c>
      <c r="E1061">
        <v>78</v>
      </c>
      <c r="F1061">
        <v>1513.98</v>
      </c>
    </row>
    <row r="1062" spans="1:6" x14ac:dyDescent="0.25">
      <c r="A1062">
        <v>1061</v>
      </c>
      <c r="B1062" s="1">
        <v>45690</v>
      </c>
      <c r="C1062" s="2" t="s">
        <v>24</v>
      </c>
      <c r="D1062">
        <v>27.67</v>
      </c>
      <c r="E1062">
        <v>73</v>
      </c>
      <c r="F1062">
        <v>2019.91</v>
      </c>
    </row>
    <row r="1063" spans="1:6" x14ac:dyDescent="0.25">
      <c r="A1063">
        <v>1062</v>
      </c>
      <c r="B1063" s="1">
        <v>45726</v>
      </c>
      <c r="C1063" s="2" t="s">
        <v>21</v>
      </c>
      <c r="D1063">
        <v>56.7</v>
      </c>
      <c r="E1063">
        <v>49</v>
      </c>
      <c r="F1063">
        <v>2778.3</v>
      </c>
    </row>
    <row r="1064" spans="1:6" x14ac:dyDescent="0.25">
      <c r="A1064">
        <v>1063</v>
      </c>
      <c r="B1064" s="1">
        <v>45828</v>
      </c>
      <c r="C1064" s="2" t="s">
        <v>20</v>
      </c>
      <c r="D1064">
        <v>84.79</v>
      </c>
      <c r="E1064">
        <v>64</v>
      </c>
      <c r="F1064">
        <v>5426.56</v>
      </c>
    </row>
    <row r="1065" spans="1:6" x14ac:dyDescent="0.25">
      <c r="A1065">
        <v>1064</v>
      </c>
      <c r="B1065" s="1">
        <v>45777</v>
      </c>
      <c r="C1065" s="2" t="s">
        <v>13</v>
      </c>
      <c r="D1065">
        <v>72.510000000000005</v>
      </c>
      <c r="E1065">
        <v>64</v>
      </c>
      <c r="F1065">
        <v>4640.6400000000003</v>
      </c>
    </row>
    <row r="1066" spans="1:6" x14ac:dyDescent="0.25">
      <c r="A1066">
        <v>1065</v>
      </c>
      <c r="B1066" s="1">
        <v>45726</v>
      </c>
      <c r="C1066" s="2" t="s">
        <v>19</v>
      </c>
      <c r="D1066">
        <v>24.66</v>
      </c>
      <c r="E1066">
        <v>53</v>
      </c>
      <c r="F1066">
        <v>1306.98</v>
      </c>
    </row>
    <row r="1067" spans="1:6" x14ac:dyDescent="0.25">
      <c r="A1067">
        <v>1066</v>
      </c>
      <c r="B1067" s="1">
        <v>45792</v>
      </c>
      <c r="C1067" s="2" t="s">
        <v>13</v>
      </c>
      <c r="D1067">
        <v>23.62</v>
      </c>
      <c r="E1067">
        <v>249</v>
      </c>
      <c r="F1067">
        <v>5881.38</v>
      </c>
    </row>
    <row r="1068" spans="1:6" x14ac:dyDescent="0.25">
      <c r="A1068">
        <v>1067</v>
      </c>
      <c r="B1068" s="1">
        <v>45686</v>
      </c>
      <c r="C1068" s="2" t="s">
        <v>24</v>
      </c>
      <c r="D1068">
        <v>20.309999999999999</v>
      </c>
      <c r="E1068">
        <v>96</v>
      </c>
      <c r="F1068">
        <v>1949.7599999999998</v>
      </c>
    </row>
    <row r="1069" spans="1:6" x14ac:dyDescent="0.25">
      <c r="A1069">
        <v>1068</v>
      </c>
      <c r="B1069" s="1">
        <v>45824</v>
      </c>
      <c r="C1069" s="2" t="s">
        <v>12</v>
      </c>
      <c r="D1069">
        <v>64.040000000000006</v>
      </c>
      <c r="E1069">
        <v>116</v>
      </c>
      <c r="F1069">
        <v>7428.64</v>
      </c>
    </row>
    <row r="1070" spans="1:6" x14ac:dyDescent="0.25">
      <c r="A1070">
        <v>1069</v>
      </c>
      <c r="B1070" s="1">
        <v>45818</v>
      </c>
      <c r="C1070" s="2" t="s">
        <v>16</v>
      </c>
      <c r="D1070">
        <v>66.87</v>
      </c>
      <c r="E1070">
        <v>29</v>
      </c>
      <c r="F1070">
        <v>1939.23</v>
      </c>
    </row>
    <row r="1071" spans="1:6" x14ac:dyDescent="0.25">
      <c r="A1071">
        <v>1070</v>
      </c>
      <c r="B1071" s="1">
        <v>45703</v>
      </c>
      <c r="C1071" s="2" t="s">
        <v>20</v>
      </c>
      <c r="D1071">
        <v>87.1</v>
      </c>
      <c r="E1071">
        <v>25</v>
      </c>
      <c r="F1071">
        <v>2177.5</v>
      </c>
    </row>
    <row r="1072" spans="1:6" x14ac:dyDescent="0.25">
      <c r="A1072">
        <v>1071</v>
      </c>
      <c r="B1072" s="1">
        <v>45703</v>
      </c>
      <c r="C1072" s="2" t="s">
        <v>16</v>
      </c>
      <c r="D1072">
        <v>85.82</v>
      </c>
      <c r="E1072">
        <v>128</v>
      </c>
      <c r="F1072">
        <v>10984.96</v>
      </c>
    </row>
    <row r="1073" spans="1:6" x14ac:dyDescent="0.25">
      <c r="A1073">
        <v>1072</v>
      </c>
      <c r="B1073" s="1">
        <v>45791</v>
      </c>
      <c r="C1073" s="2" t="s">
        <v>15</v>
      </c>
      <c r="D1073">
        <v>50</v>
      </c>
      <c r="E1073">
        <v>244</v>
      </c>
      <c r="F1073">
        <v>12200</v>
      </c>
    </row>
    <row r="1074" spans="1:6" x14ac:dyDescent="0.25">
      <c r="A1074">
        <v>1073</v>
      </c>
      <c r="B1074" s="1">
        <v>45787</v>
      </c>
      <c r="C1074" s="2" t="s">
        <v>25</v>
      </c>
      <c r="D1074">
        <v>102.57</v>
      </c>
      <c r="E1074">
        <v>103</v>
      </c>
      <c r="F1074">
        <v>10564.71</v>
      </c>
    </row>
    <row r="1075" spans="1:6" x14ac:dyDescent="0.25">
      <c r="A1075">
        <v>1074</v>
      </c>
      <c r="B1075" s="1">
        <v>45682</v>
      </c>
      <c r="C1075" s="2" t="s">
        <v>23</v>
      </c>
      <c r="D1075">
        <v>28.57</v>
      </c>
      <c r="E1075">
        <v>133</v>
      </c>
      <c r="F1075">
        <v>3799.81</v>
      </c>
    </row>
    <row r="1076" spans="1:6" x14ac:dyDescent="0.25">
      <c r="A1076">
        <v>1075</v>
      </c>
      <c r="B1076" s="1">
        <v>45678</v>
      </c>
      <c r="C1076" s="2" t="s">
        <v>9</v>
      </c>
      <c r="D1076">
        <v>138.16999999999999</v>
      </c>
      <c r="E1076">
        <v>77</v>
      </c>
      <c r="F1076">
        <v>10639.089999999998</v>
      </c>
    </row>
    <row r="1077" spans="1:6" x14ac:dyDescent="0.25">
      <c r="A1077">
        <v>1076</v>
      </c>
      <c r="B1077" s="1">
        <v>45711</v>
      </c>
      <c r="C1077" s="2" t="s">
        <v>18</v>
      </c>
      <c r="D1077">
        <v>70.94</v>
      </c>
      <c r="E1077">
        <v>32</v>
      </c>
      <c r="F1077">
        <v>2270.08</v>
      </c>
    </row>
    <row r="1078" spans="1:6" x14ac:dyDescent="0.25">
      <c r="A1078">
        <v>1077</v>
      </c>
      <c r="B1078" s="1">
        <v>45759</v>
      </c>
      <c r="C1078" s="2" t="s">
        <v>24</v>
      </c>
      <c r="D1078">
        <v>94.76</v>
      </c>
      <c r="E1078">
        <v>104</v>
      </c>
      <c r="F1078">
        <v>9855.0400000000009</v>
      </c>
    </row>
    <row r="1079" spans="1:6" x14ac:dyDescent="0.25">
      <c r="A1079">
        <v>1078</v>
      </c>
      <c r="B1079" s="1">
        <v>45810</v>
      </c>
      <c r="C1079" s="2" t="s">
        <v>10</v>
      </c>
      <c r="D1079">
        <v>77.06</v>
      </c>
      <c r="E1079">
        <v>57</v>
      </c>
      <c r="F1079">
        <v>4392.42</v>
      </c>
    </row>
    <row r="1080" spans="1:6" x14ac:dyDescent="0.25">
      <c r="A1080">
        <v>1079</v>
      </c>
      <c r="B1080" s="1">
        <v>45836</v>
      </c>
      <c r="C1080" s="2" t="s">
        <v>20</v>
      </c>
      <c r="D1080">
        <v>28.66</v>
      </c>
      <c r="E1080">
        <v>94</v>
      </c>
      <c r="F1080">
        <v>2694.04</v>
      </c>
    </row>
    <row r="1081" spans="1:6" x14ac:dyDescent="0.25">
      <c r="A1081">
        <v>1080</v>
      </c>
      <c r="B1081" s="1">
        <v>45747</v>
      </c>
      <c r="C1081" s="2" t="s">
        <v>20</v>
      </c>
      <c r="D1081">
        <v>18.14</v>
      </c>
      <c r="E1081">
        <v>145</v>
      </c>
      <c r="F1081">
        <v>2630.3</v>
      </c>
    </row>
    <row r="1082" spans="1:6" x14ac:dyDescent="0.25">
      <c r="A1082">
        <v>1081</v>
      </c>
      <c r="B1082" s="1">
        <v>45703</v>
      </c>
      <c r="C1082" s="2" t="s">
        <v>6</v>
      </c>
      <c r="D1082">
        <v>83.81</v>
      </c>
      <c r="E1082">
        <v>77</v>
      </c>
      <c r="F1082">
        <v>6453.37</v>
      </c>
    </row>
    <row r="1083" spans="1:6" x14ac:dyDescent="0.25">
      <c r="A1083">
        <v>1082</v>
      </c>
      <c r="B1083" s="1">
        <v>45743</v>
      </c>
      <c r="C1083" s="2" t="s">
        <v>19</v>
      </c>
      <c r="D1083">
        <v>64.02</v>
      </c>
      <c r="E1083">
        <v>98</v>
      </c>
      <c r="F1083">
        <v>6273.96</v>
      </c>
    </row>
    <row r="1084" spans="1:6" x14ac:dyDescent="0.25">
      <c r="A1084">
        <v>1083</v>
      </c>
      <c r="B1084" s="1">
        <v>45765</v>
      </c>
      <c r="C1084" s="2" t="s">
        <v>23</v>
      </c>
      <c r="D1084">
        <v>75.510000000000005</v>
      </c>
      <c r="E1084">
        <v>136</v>
      </c>
      <c r="F1084">
        <v>10269.36</v>
      </c>
    </row>
    <row r="1085" spans="1:6" x14ac:dyDescent="0.25">
      <c r="A1085">
        <v>1084</v>
      </c>
      <c r="B1085" s="1">
        <v>45685</v>
      </c>
      <c r="C1085" s="2" t="s">
        <v>22</v>
      </c>
      <c r="D1085">
        <v>65.81</v>
      </c>
      <c r="E1085">
        <v>150</v>
      </c>
      <c r="F1085">
        <v>9871.5</v>
      </c>
    </row>
    <row r="1086" spans="1:6" x14ac:dyDescent="0.25">
      <c r="A1086">
        <v>1085</v>
      </c>
      <c r="B1086" s="1">
        <v>45805</v>
      </c>
      <c r="C1086" s="2" t="s">
        <v>13</v>
      </c>
      <c r="D1086">
        <v>63.29</v>
      </c>
      <c r="E1086">
        <v>153</v>
      </c>
      <c r="F1086">
        <v>9683.369999999999</v>
      </c>
    </row>
    <row r="1087" spans="1:6" x14ac:dyDescent="0.25">
      <c r="A1087">
        <v>1086</v>
      </c>
      <c r="B1087" s="1">
        <v>45772</v>
      </c>
      <c r="C1087" s="2" t="s">
        <v>15</v>
      </c>
      <c r="D1087">
        <v>89.62</v>
      </c>
      <c r="E1087">
        <v>148</v>
      </c>
      <c r="F1087">
        <v>13263.76</v>
      </c>
    </row>
    <row r="1088" spans="1:6" x14ac:dyDescent="0.25">
      <c r="A1088">
        <v>1087</v>
      </c>
      <c r="B1088" s="1">
        <v>45723</v>
      </c>
      <c r="C1088" s="2" t="s">
        <v>25</v>
      </c>
      <c r="D1088">
        <v>37.9</v>
      </c>
      <c r="E1088">
        <v>224</v>
      </c>
      <c r="F1088">
        <v>8489.6</v>
      </c>
    </row>
    <row r="1089" spans="1:6" x14ac:dyDescent="0.25">
      <c r="A1089">
        <v>1088</v>
      </c>
      <c r="B1089" s="1">
        <v>45668</v>
      </c>
      <c r="C1089" s="2" t="s">
        <v>21</v>
      </c>
      <c r="D1089">
        <v>7.5</v>
      </c>
      <c r="E1089">
        <v>87</v>
      </c>
      <c r="F1089">
        <v>652.5</v>
      </c>
    </row>
    <row r="1090" spans="1:6" x14ac:dyDescent="0.25">
      <c r="A1090">
        <v>1089</v>
      </c>
      <c r="B1090" s="1">
        <v>45718</v>
      </c>
      <c r="C1090" s="2" t="s">
        <v>17</v>
      </c>
      <c r="D1090">
        <v>31.3</v>
      </c>
      <c r="E1090">
        <v>209</v>
      </c>
      <c r="F1090">
        <v>6541.7</v>
      </c>
    </row>
    <row r="1091" spans="1:6" x14ac:dyDescent="0.25">
      <c r="A1091">
        <v>1090</v>
      </c>
      <c r="B1091" s="1">
        <v>45787</v>
      </c>
      <c r="C1091" s="2" t="s">
        <v>25</v>
      </c>
      <c r="D1091">
        <v>22.07</v>
      </c>
      <c r="E1091">
        <v>90</v>
      </c>
      <c r="F1091">
        <v>1986.3</v>
      </c>
    </row>
    <row r="1092" spans="1:6" x14ac:dyDescent="0.25">
      <c r="A1092">
        <v>1091</v>
      </c>
      <c r="B1092" s="1">
        <v>45770</v>
      </c>
      <c r="C1092" s="2" t="s">
        <v>23</v>
      </c>
      <c r="D1092">
        <v>6.82</v>
      </c>
      <c r="E1092">
        <v>115</v>
      </c>
      <c r="F1092">
        <v>784.30000000000007</v>
      </c>
    </row>
    <row r="1093" spans="1:6" x14ac:dyDescent="0.25">
      <c r="A1093">
        <v>1092</v>
      </c>
      <c r="B1093" s="1">
        <v>45662</v>
      </c>
      <c r="C1093" s="2" t="s">
        <v>18</v>
      </c>
      <c r="D1093">
        <v>26.77</v>
      </c>
      <c r="E1093">
        <v>84</v>
      </c>
      <c r="F1093">
        <v>2248.6799999999998</v>
      </c>
    </row>
    <row r="1094" spans="1:6" x14ac:dyDescent="0.25">
      <c r="A1094">
        <v>1093</v>
      </c>
      <c r="B1094" s="1">
        <v>45800</v>
      </c>
      <c r="C1094" s="2" t="s">
        <v>30</v>
      </c>
      <c r="D1094">
        <v>48.76</v>
      </c>
      <c r="E1094">
        <v>191</v>
      </c>
      <c r="F1094">
        <v>9313.16</v>
      </c>
    </row>
    <row r="1095" spans="1:6" x14ac:dyDescent="0.25">
      <c r="A1095">
        <v>1094</v>
      </c>
      <c r="B1095" s="1">
        <v>45784</v>
      </c>
      <c r="C1095" s="2" t="s">
        <v>13</v>
      </c>
      <c r="D1095">
        <v>10.64</v>
      </c>
      <c r="E1095">
        <v>142</v>
      </c>
      <c r="F1095">
        <v>1510.88</v>
      </c>
    </row>
    <row r="1096" spans="1:6" x14ac:dyDescent="0.25">
      <c r="A1096">
        <v>1095</v>
      </c>
      <c r="B1096" s="1">
        <v>45721</v>
      </c>
      <c r="C1096" s="2" t="s">
        <v>24</v>
      </c>
      <c r="D1096">
        <v>28.79</v>
      </c>
      <c r="E1096">
        <v>39</v>
      </c>
      <c r="F1096">
        <v>1122.81</v>
      </c>
    </row>
    <row r="1097" spans="1:6" x14ac:dyDescent="0.25">
      <c r="A1097">
        <v>1096</v>
      </c>
      <c r="B1097" s="1">
        <v>45771</v>
      </c>
      <c r="C1097" s="2" t="s">
        <v>27</v>
      </c>
      <c r="D1097">
        <v>86.21</v>
      </c>
      <c r="E1097">
        <v>111</v>
      </c>
      <c r="F1097">
        <v>9569.31</v>
      </c>
    </row>
    <row r="1098" spans="1:6" x14ac:dyDescent="0.25">
      <c r="A1098">
        <v>1097</v>
      </c>
      <c r="B1098" s="1">
        <v>45662</v>
      </c>
      <c r="C1098" s="2" t="s">
        <v>7</v>
      </c>
      <c r="D1098">
        <v>110.1</v>
      </c>
      <c r="E1098">
        <v>52</v>
      </c>
      <c r="F1098">
        <v>5725.2</v>
      </c>
    </row>
    <row r="1099" spans="1:6" x14ac:dyDescent="0.25">
      <c r="A1099">
        <v>1098</v>
      </c>
      <c r="B1099" s="1">
        <v>45814</v>
      </c>
      <c r="C1099" s="2" t="s">
        <v>27</v>
      </c>
      <c r="D1099">
        <v>50.68</v>
      </c>
      <c r="E1099">
        <v>27</v>
      </c>
      <c r="F1099">
        <v>1368.36</v>
      </c>
    </row>
    <row r="1100" spans="1:6" x14ac:dyDescent="0.25">
      <c r="A1100">
        <v>1099</v>
      </c>
      <c r="B1100" s="1">
        <v>45730</v>
      </c>
      <c r="C1100" s="2" t="s">
        <v>28</v>
      </c>
      <c r="D1100">
        <v>27.18</v>
      </c>
      <c r="E1100">
        <v>224</v>
      </c>
      <c r="F1100">
        <v>6088.32</v>
      </c>
    </row>
    <row r="1101" spans="1:6" x14ac:dyDescent="0.25">
      <c r="A1101">
        <v>1100</v>
      </c>
      <c r="B1101" s="1">
        <v>45780</v>
      </c>
      <c r="C1101" s="2" t="s">
        <v>25</v>
      </c>
      <c r="D1101">
        <v>64.709999999999994</v>
      </c>
      <c r="E1101">
        <v>50</v>
      </c>
      <c r="F1101">
        <v>3235.4999999999995</v>
      </c>
    </row>
    <row r="1102" spans="1:6" x14ac:dyDescent="0.25">
      <c r="A1102">
        <v>1101</v>
      </c>
      <c r="B1102" s="1">
        <v>45736</v>
      </c>
      <c r="C1102" s="2" t="s">
        <v>22</v>
      </c>
      <c r="D1102">
        <v>74.22</v>
      </c>
      <c r="E1102">
        <v>45</v>
      </c>
      <c r="F1102">
        <v>3339.9</v>
      </c>
    </row>
    <row r="1103" spans="1:6" x14ac:dyDescent="0.25">
      <c r="A1103">
        <v>1102</v>
      </c>
      <c r="B1103" s="1">
        <v>45670</v>
      </c>
      <c r="C1103" s="2" t="s">
        <v>17</v>
      </c>
      <c r="D1103">
        <v>25.75</v>
      </c>
      <c r="E1103">
        <v>180</v>
      </c>
      <c r="F1103">
        <v>4635</v>
      </c>
    </row>
    <row r="1104" spans="1:6" x14ac:dyDescent="0.25">
      <c r="A1104">
        <v>1103</v>
      </c>
      <c r="B1104" s="1">
        <v>45725</v>
      </c>
      <c r="C1104" s="2" t="s">
        <v>14</v>
      </c>
      <c r="D1104">
        <v>59.5</v>
      </c>
      <c r="E1104">
        <v>221</v>
      </c>
      <c r="F1104">
        <v>13149.5</v>
      </c>
    </row>
    <row r="1105" spans="1:6" x14ac:dyDescent="0.25">
      <c r="A1105">
        <v>1104</v>
      </c>
      <c r="B1105" s="1">
        <v>45744</v>
      </c>
      <c r="C1105" s="2" t="s">
        <v>27</v>
      </c>
      <c r="D1105">
        <v>72.84</v>
      </c>
      <c r="E1105">
        <v>282</v>
      </c>
      <c r="F1105">
        <v>20540.88</v>
      </c>
    </row>
    <row r="1106" spans="1:6" x14ac:dyDescent="0.25">
      <c r="A1106">
        <v>1105</v>
      </c>
      <c r="B1106" s="1">
        <v>45804</v>
      </c>
      <c r="C1106" s="2" t="s">
        <v>26</v>
      </c>
      <c r="D1106">
        <v>4.59</v>
      </c>
      <c r="E1106">
        <v>45</v>
      </c>
      <c r="F1106">
        <v>206.54999999999998</v>
      </c>
    </row>
    <row r="1107" spans="1:6" x14ac:dyDescent="0.25">
      <c r="A1107">
        <v>1106</v>
      </c>
      <c r="B1107" s="1">
        <v>45795</v>
      </c>
      <c r="C1107" s="2" t="s">
        <v>13</v>
      </c>
      <c r="D1107">
        <v>93.15</v>
      </c>
      <c r="E1107">
        <v>131</v>
      </c>
      <c r="F1107">
        <v>12202.650000000001</v>
      </c>
    </row>
    <row r="1108" spans="1:6" x14ac:dyDescent="0.25">
      <c r="A1108">
        <v>1107</v>
      </c>
      <c r="B1108" s="1">
        <v>45830</v>
      </c>
      <c r="C1108" s="2" t="s">
        <v>21</v>
      </c>
      <c r="D1108">
        <v>16.71</v>
      </c>
      <c r="E1108">
        <v>100</v>
      </c>
      <c r="F1108">
        <v>1671</v>
      </c>
    </row>
    <row r="1109" spans="1:6" x14ac:dyDescent="0.25">
      <c r="A1109">
        <v>1108</v>
      </c>
      <c r="B1109" s="1">
        <v>45711</v>
      </c>
      <c r="C1109" s="2" t="s">
        <v>15</v>
      </c>
      <c r="D1109">
        <v>49.19</v>
      </c>
      <c r="E1109">
        <v>286</v>
      </c>
      <c r="F1109">
        <v>14068.34</v>
      </c>
    </row>
    <row r="1110" spans="1:6" x14ac:dyDescent="0.25">
      <c r="A1110">
        <v>1109</v>
      </c>
      <c r="B1110" s="1">
        <v>45799</v>
      </c>
      <c r="C1110" s="2" t="s">
        <v>15</v>
      </c>
      <c r="D1110">
        <v>82.64</v>
      </c>
      <c r="E1110">
        <v>153</v>
      </c>
      <c r="F1110">
        <v>12643.92</v>
      </c>
    </row>
    <row r="1111" spans="1:6" x14ac:dyDescent="0.25">
      <c r="A1111">
        <v>1110</v>
      </c>
      <c r="B1111" s="1">
        <v>45796</v>
      </c>
      <c r="C1111" s="2" t="s">
        <v>20</v>
      </c>
      <c r="D1111">
        <v>54.76</v>
      </c>
      <c r="E1111">
        <v>156</v>
      </c>
      <c r="F1111">
        <v>8542.56</v>
      </c>
    </row>
    <row r="1112" spans="1:6" x14ac:dyDescent="0.25">
      <c r="A1112">
        <v>1111</v>
      </c>
      <c r="B1112" s="1">
        <v>45770</v>
      </c>
      <c r="C1112" s="2" t="s">
        <v>27</v>
      </c>
      <c r="D1112">
        <v>71.88</v>
      </c>
      <c r="E1112">
        <v>91</v>
      </c>
      <c r="F1112">
        <v>6541.08</v>
      </c>
    </row>
    <row r="1113" spans="1:6" x14ac:dyDescent="0.25">
      <c r="A1113">
        <v>1112</v>
      </c>
      <c r="B1113" s="1">
        <v>45810</v>
      </c>
      <c r="C1113" s="2" t="s">
        <v>17</v>
      </c>
      <c r="D1113">
        <v>55.04</v>
      </c>
      <c r="E1113">
        <v>85</v>
      </c>
      <c r="F1113">
        <v>4678.3999999999996</v>
      </c>
    </row>
    <row r="1114" spans="1:6" x14ac:dyDescent="0.25">
      <c r="A1114">
        <v>1113</v>
      </c>
      <c r="B1114" s="1">
        <v>45804</v>
      </c>
      <c r="C1114" s="2" t="s">
        <v>7</v>
      </c>
      <c r="D1114">
        <v>18.05</v>
      </c>
      <c r="E1114">
        <v>100</v>
      </c>
      <c r="F1114">
        <v>1805</v>
      </c>
    </row>
    <row r="1115" spans="1:6" x14ac:dyDescent="0.25">
      <c r="A1115">
        <v>1114</v>
      </c>
      <c r="B1115" s="1">
        <v>45669</v>
      </c>
      <c r="C1115" s="2" t="s">
        <v>28</v>
      </c>
      <c r="D1115">
        <v>92.59</v>
      </c>
      <c r="E1115">
        <v>183</v>
      </c>
      <c r="F1115">
        <v>16943.97</v>
      </c>
    </row>
    <row r="1116" spans="1:6" x14ac:dyDescent="0.25">
      <c r="A1116">
        <v>1115</v>
      </c>
      <c r="B1116" s="1">
        <v>45702</v>
      </c>
      <c r="C1116" s="2" t="s">
        <v>24</v>
      </c>
      <c r="D1116">
        <v>6.1</v>
      </c>
      <c r="E1116">
        <v>163</v>
      </c>
      <c r="F1116">
        <v>994.3</v>
      </c>
    </row>
    <row r="1117" spans="1:6" x14ac:dyDescent="0.25">
      <c r="A1117">
        <v>1116</v>
      </c>
      <c r="B1117" s="1">
        <v>45808</v>
      </c>
      <c r="C1117" s="2" t="s">
        <v>30</v>
      </c>
      <c r="D1117">
        <v>48.08</v>
      </c>
      <c r="E1117">
        <v>164</v>
      </c>
      <c r="F1117">
        <v>7885.12</v>
      </c>
    </row>
    <row r="1118" spans="1:6" x14ac:dyDescent="0.25">
      <c r="A1118">
        <v>1117</v>
      </c>
      <c r="B1118" s="1">
        <v>45830</v>
      </c>
      <c r="C1118" s="2" t="s">
        <v>28</v>
      </c>
      <c r="D1118">
        <v>131.30000000000001</v>
      </c>
      <c r="E1118">
        <v>160</v>
      </c>
      <c r="F1118">
        <v>21008</v>
      </c>
    </row>
    <row r="1119" spans="1:6" x14ac:dyDescent="0.25">
      <c r="A1119">
        <v>1118</v>
      </c>
      <c r="B1119" s="1">
        <v>45777</v>
      </c>
      <c r="C1119" s="2" t="s">
        <v>15</v>
      </c>
      <c r="D1119">
        <v>22.34</v>
      </c>
      <c r="E1119">
        <v>77</v>
      </c>
      <c r="F1119">
        <v>1720.18</v>
      </c>
    </row>
    <row r="1120" spans="1:6" x14ac:dyDescent="0.25">
      <c r="A1120">
        <v>1119</v>
      </c>
      <c r="B1120" s="1">
        <v>45670</v>
      </c>
      <c r="C1120" s="2" t="s">
        <v>11</v>
      </c>
      <c r="D1120">
        <v>9.94</v>
      </c>
      <c r="E1120">
        <v>74</v>
      </c>
      <c r="F1120">
        <v>735.56</v>
      </c>
    </row>
    <row r="1121" spans="1:6" x14ac:dyDescent="0.25">
      <c r="A1121">
        <v>1120</v>
      </c>
      <c r="B1121" s="1">
        <v>45823</v>
      </c>
      <c r="C1121" s="2" t="s">
        <v>30</v>
      </c>
      <c r="D1121">
        <v>49.39</v>
      </c>
      <c r="E1121">
        <v>161</v>
      </c>
      <c r="F1121">
        <v>7951.79</v>
      </c>
    </row>
    <row r="1122" spans="1:6" x14ac:dyDescent="0.25">
      <c r="A1122">
        <v>1121</v>
      </c>
      <c r="B1122" s="1">
        <v>45800</v>
      </c>
      <c r="C1122" s="2" t="s">
        <v>30</v>
      </c>
      <c r="D1122">
        <v>42.81</v>
      </c>
      <c r="E1122">
        <v>36</v>
      </c>
      <c r="F1122">
        <v>1541.16</v>
      </c>
    </row>
    <row r="1123" spans="1:6" x14ac:dyDescent="0.25">
      <c r="A1123">
        <v>1122</v>
      </c>
      <c r="B1123" s="1">
        <v>45701</v>
      </c>
      <c r="C1123" s="2" t="s">
        <v>20</v>
      </c>
      <c r="D1123">
        <v>142.07</v>
      </c>
      <c r="E1123">
        <v>33</v>
      </c>
      <c r="F1123">
        <v>4688.3099999999995</v>
      </c>
    </row>
    <row r="1124" spans="1:6" x14ac:dyDescent="0.25">
      <c r="A1124">
        <v>1123</v>
      </c>
      <c r="B1124" s="1">
        <v>45679</v>
      </c>
      <c r="C1124" s="2" t="s">
        <v>16</v>
      </c>
      <c r="D1124">
        <v>64.760000000000005</v>
      </c>
      <c r="E1124">
        <v>127</v>
      </c>
      <c r="F1124">
        <v>8224.52</v>
      </c>
    </row>
    <row r="1125" spans="1:6" x14ac:dyDescent="0.25">
      <c r="A1125">
        <v>1124</v>
      </c>
      <c r="B1125" s="1">
        <v>45748</v>
      </c>
      <c r="C1125" s="2" t="s">
        <v>30</v>
      </c>
      <c r="D1125">
        <v>35.04</v>
      </c>
      <c r="E1125">
        <v>92</v>
      </c>
      <c r="F1125">
        <v>3223.68</v>
      </c>
    </row>
    <row r="1126" spans="1:6" x14ac:dyDescent="0.25">
      <c r="A1126">
        <v>1125</v>
      </c>
      <c r="B1126" s="1">
        <v>45831</v>
      </c>
      <c r="C1126" s="2" t="s">
        <v>10</v>
      </c>
      <c r="D1126">
        <v>47.25</v>
      </c>
      <c r="E1126">
        <v>146</v>
      </c>
      <c r="F1126">
        <v>6898.5</v>
      </c>
    </row>
    <row r="1127" spans="1:6" x14ac:dyDescent="0.25">
      <c r="A1127">
        <v>1126</v>
      </c>
      <c r="B1127" s="1">
        <v>45786</v>
      </c>
      <c r="C1127" s="2" t="s">
        <v>16</v>
      </c>
      <c r="D1127">
        <v>6.56</v>
      </c>
      <c r="E1127">
        <v>117</v>
      </c>
      <c r="F1127">
        <v>767.52</v>
      </c>
    </row>
    <row r="1128" spans="1:6" x14ac:dyDescent="0.25">
      <c r="A1128">
        <v>1127</v>
      </c>
      <c r="B1128" s="1">
        <v>45677</v>
      </c>
      <c r="C1128" s="2" t="s">
        <v>21</v>
      </c>
      <c r="D1128">
        <v>6.23</v>
      </c>
      <c r="E1128">
        <v>95</v>
      </c>
      <c r="F1128">
        <v>591.85</v>
      </c>
    </row>
    <row r="1129" spans="1:6" x14ac:dyDescent="0.25">
      <c r="A1129">
        <v>1128</v>
      </c>
      <c r="B1129" s="1">
        <v>45764</v>
      </c>
      <c r="C1129" s="2" t="s">
        <v>30</v>
      </c>
      <c r="D1129">
        <v>14.81</v>
      </c>
      <c r="E1129">
        <v>144</v>
      </c>
      <c r="F1129">
        <v>2132.64</v>
      </c>
    </row>
    <row r="1130" spans="1:6" x14ac:dyDescent="0.25">
      <c r="A1130">
        <v>1129</v>
      </c>
      <c r="B1130" s="1">
        <v>45777</v>
      </c>
      <c r="C1130" s="2" t="s">
        <v>6</v>
      </c>
      <c r="D1130">
        <v>44.26</v>
      </c>
      <c r="E1130">
        <v>97</v>
      </c>
      <c r="F1130">
        <v>4293.22</v>
      </c>
    </row>
    <row r="1131" spans="1:6" x14ac:dyDescent="0.25">
      <c r="A1131">
        <v>1130</v>
      </c>
      <c r="B1131" s="1">
        <v>45672</v>
      </c>
      <c r="C1131" s="2" t="s">
        <v>24</v>
      </c>
      <c r="D1131">
        <v>30.38</v>
      </c>
      <c r="E1131">
        <v>149</v>
      </c>
      <c r="F1131">
        <v>4526.62</v>
      </c>
    </row>
    <row r="1132" spans="1:6" x14ac:dyDescent="0.25">
      <c r="A1132">
        <v>1131</v>
      </c>
      <c r="B1132" s="1">
        <v>45760</v>
      </c>
      <c r="C1132" s="2" t="s">
        <v>15</v>
      </c>
      <c r="D1132">
        <v>87.04</v>
      </c>
      <c r="E1132">
        <v>77</v>
      </c>
      <c r="F1132">
        <v>6702.0800000000008</v>
      </c>
    </row>
    <row r="1133" spans="1:6" x14ac:dyDescent="0.25">
      <c r="A1133">
        <v>1132</v>
      </c>
      <c r="B1133" s="1">
        <v>45768</v>
      </c>
      <c r="C1133" s="2" t="s">
        <v>22</v>
      </c>
      <c r="D1133">
        <v>59.49</v>
      </c>
      <c r="E1133">
        <v>115</v>
      </c>
      <c r="F1133">
        <v>6841.35</v>
      </c>
    </row>
    <row r="1134" spans="1:6" x14ac:dyDescent="0.25">
      <c r="A1134">
        <v>1133</v>
      </c>
      <c r="B1134" s="1">
        <v>45785</v>
      </c>
      <c r="C1134" s="2" t="s">
        <v>27</v>
      </c>
      <c r="D1134">
        <v>23.8</v>
      </c>
      <c r="E1134">
        <v>100</v>
      </c>
      <c r="F1134">
        <v>2380</v>
      </c>
    </row>
    <row r="1135" spans="1:6" x14ac:dyDescent="0.25">
      <c r="A1135">
        <v>1134</v>
      </c>
      <c r="B1135" s="1">
        <v>45750</v>
      </c>
      <c r="C1135" s="2" t="s">
        <v>25</v>
      </c>
      <c r="D1135">
        <v>9.25</v>
      </c>
      <c r="E1135">
        <v>204</v>
      </c>
      <c r="F1135">
        <v>1887</v>
      </c>
    </row>
    <row r="1136" spans="1:6" x14ac:dyDescent="0.25">
      <c r="A1136">
        <v>1135</v>
      </c>
      <c r="B1136" s="1">
        <v>45717</v>
      </c>
      <c r="C1136" s="2" t="s">
        <v>11</v>
      </c>
      <c r="D1136">
        <v>114.44</v>
      </c>
      <c r="E1136">
        <v>34</v>
      </c>
      <c r="F1136">
        <v>3890.96</v>
      </c>
    </row>
    <row r="1137" spans="1:6" x14ac:dyDescent="0.25">
      <c r="A1137">
        <v>1136</v>
      </c>
      <c r="B1137" s="1">
        <v>45788</v>
      </c>
      <c r="C1137" s="2" t="s">
        <v>29</v>
      </c>
      <c r="D1137">
        <v>18.91</v>
      </c>
      <c r="E1137">
        <v>125</v>
      </c>
      <c r="F1137">
        <v>2363.75</v>
      </c>
    </row>
    <row r="1138" spans="1:6" x14ac:dyDescent="0.25">
      <c r="A1138">
        <v>1137</v>
      </c>
      <c r="B1138" s="1">
        <v>45711</v>
      </c>
      <c r="C1138" s="2" t="s">
        <v>28</v>
      </c>
      <c r="D1138">
        <v>140.18</v>
      </c>
      <c r="E1138">
        <v>121</v>
      </c>
      <c r="F1138">
        <v>16961.780000000002</v>
      </c>
    </row>
    <row r="1139" spans="1:6" x14ac:dyDescent="0.25">
      <c r="A1139">
        <v>1138</v>
      </c>
      <c r="B1139" s="1">
        <v>45802</v>
      </c>
      <c r="C1139" s="2" t="s">
        <v>28</v>
      </c>
      <c r="D1139">
        <v>118.31</v>
      </c>
      <c r="E1139">
        <v>68</v>
      </c>
      <c r="F1139">
        <v>8045.08</v>
      </c>
    </row>
    <row r="1140" spans="1:6" x14ac:dyDescent="0.25">
      <c r="A1140">
        <v>1139</v>
      </c>
      <c r="B1140" s="1">
        <v>45719</v>
      </c>
      <c r="C1140" s="2" t="s">
        <v>24</v>
      </c>
      <c r="D1140">
        <v>13.71</v>
      </c>
      <c r="E1140">
        <v>141</v>
      </c>
      <c r="F1140">
        <v>1933.1100000000001</v>
      </c>
    </row>
    <row r="1141" spans="1:6" x14ac:dyDescent="0.25">
      <c r="A1141">
        <v>1140</v>
      </c>
      <c r="B1141" s="1">
        <v>45740</v>
      </c>
      <c r="C1141" s="2" t="s">
        <v>30</v>
      </c>
      <c r="D1141">
        <v>86.65</v>
      </c>
      <c r="E1141">
        <v>100</v>
      </c>
      <c r="F1141">
        <v>8665</v>
      </c>
    </row>
    <row r="1142" spans="1:6" x14ac:dyDescent="0.25">
      <c r="A1142">
        <v>1141</v>
      </c>
      <c r="B1142" s="1">
        <v>45715</v>
      </c>
      <c r="C1142" s="2" t="s">
        <v>24</v>
      </c>
      <c r="D1142">
        <v>84.98</v>
      </c>
      <c r="E1142">
        <v>21</v>
      </c>
      <c r="F1142">
        <v>1784.5800000000002</v>
      </c>
    </row>
    <row r="1143" spans="1:6" x14ac:dyDescent="0.25">
      <c r="A1143">
        <v>1142</v>
      </c>
      <c r="B1143" s="1">
        <v>45782</v>
      </c>
      <c r="C1143" s="2" t="s">
        <v>22</v>
      </c>
      <c r="D1143">
        <v>23.07</v>
      </c>
      <c r="E1143">
        <v>53</v>
      </c>
      <c r="F1143">
        <v>1222.71</v>
      </c>
    </row>
    <row r="1144" spans="1:6" x14ac:dyDescent="0.25">
      <c r="A1144">
        <v>1143</v>
      </c>
      <c r="B1144" s="1">
        <v>45792</v>
      </c>
      <c r="C1144" s="2" t="s">
        <v>16</v>
      </c>
      <c r="D1144">
        <v>38.770000000000003</v>
      </c>
      <c r="E1144">
        <v>172</v>
      </c>
      <c r="F1144">
        <v>6668.4400000000005</v>
      </c>
    </row>
    <row r="1145" spans="1:6" x14ac:dyDescent="0.25">
      <c r="A1145">
        <v>1144</v>
      </c>
      <c r="B1145" s="1">
        <v>45697</v>
      </c>
      <c r="C1145" s="2" t="s">
        <v>10</v>
      </c>
      <c r="D1145">
        <v>90.58</v>
      </c>
      <c r="E1145">
        <v>40</v>
      </c>
      <c r="F1145">
        <v>3623.2</v>
      </c>
    </row>
    <row r="1146" spans="1:6" x14ac:dyDescent="0.25">
      <c r="A1146">
        <v>1145</v>
      </c>
      <c r="B1146" s="1">
        <v>45819</v>
      </c>
      <c r="C1146" s="2" t="s">
        <v>9</v>
      </c>
      <c r="D1146">
        <v>63.73</v>
      </c>
      <c r="E1146">
        <v>105</v>
      </c>
      <c r="F1146">
        <v>6691.65</v>
      </c>
    </row>
    <row r="1147" spans="1:6" x14ac:dyDescent="0.25">
      <c r="A1147">
        <v>1146</v>
      </c>
      <c r="B1147" s="1">
        <v>45771</v>
      </c>
      <c r="C1147" s="2" t="s">
        <v>26</v>
      </c>
      <c r="D1147">
        <v>114.2</v>
      </c>
      <c r="E1147">
        <v>140</v>
      </c>
      <c r="F1147">
        <v>15988</v>
      </c>
    </row>
    <row r="1148" spans="1:6" x14ac:dyDescent="0.25">
      <c r="A1148">
        <v>1147</v>
      </c>
      <c r="B1148" s="1">
        <v>45832</v>
      </c>
      <c r="C1148" s="2" t="s">
        <v>6</v>
      </c>
      <c r="D1148">
        <v>67.31</v>
      </c>
      <c r="E1148">
        <v>120</v>
      </c>
      <c r="F1148">
        <v>8077.2000000000007</v>
      </c>
    </row>
    <row r="1149" spans="1:6" x14ac:dyDescent="0.25">
      <c r="A1149">
        <v>1148</v>
      </c>
      <c r="B1149" s="1">
        <v>45694</v>
      </c>
      <c r="C1149" s="2" t="s">
        <v>17</v>
      </c>
      <c r="D1149">
        <v>121.35</v>
      </c>
      <c r="E1149">
        <v>111</v>
      </c>
      <c r="F1149">
        <v>13469.849999999999</v>
      </c>
    </row>
    <row r="1150" spans="1:6" x14ac:dyDescent="0.25">
      <c r="A1150">
        <v>1149</v>
      </c>
      <c r="B1150" s="1">
        <v>45724</v>
      </c>
      <c r="C1150" s="2" t="s">
        <v>14</v>
      </c>
      <c r="D1150">
        <v>18.04</v>
      </c>
      <c r="E1150">
        <v>212</v>
      </c>
      <c r="F1150">
        <v>3824.48</v>
      </c>
    </row>
    <row r="1151" spans="1:6" x14ac:dyDescent="0.25">
      <c r="A1151">
        <v>1150</v>
      </c>
      <c r="B1151" s="1">
        <v>45761</v>
      </c>
      <c r="C1151" s="2" t="s">
        <v>18</v>
      </c>
      <c r="D1151">
        <v>131.57</v>
      </c>
      <c r="E1151">
        <v>18</v>
      </c>
      <c r="F1151">
        <v>2368.2599999999998</v>
      </c>
    </row>
    <row r="1152" spans="1:6" x14ac:dyDescent="0.25">
      <c r="A1152">
        <v>1151</v>
      </c>
      <c r="B1152" s="1">
        <v>45722</v>
      </c>
      <c r="C1152" s="2" t="s">
        <v>23</v>
      </c>
      <c r="D1152">
        <v>108.9</v>
      </c>
      <c r="E1152">
        <v>54</v>
      </c>
      <c r="F1152">
        <v>5880.6</v>
      </c>
    </row>
    <row r="1153" spans="1:6" x14ac:dyDescent="0.25">
      <c r="A1153">
        <v>1152</v>
      </c>
      <c r="B1153" s="1">
        <v>45760</v>
      </c>
      <c r="C1153" s="2" t="s">
        <v>7</v>
      </c>
      <c r="D1153">
        <v>28.62</v>
      </c>
      <c r="E1153">
        <v>148</v>
      </c>
      <c r="F1153">
        <v>4235.76</v>
      </c>
    </row>
    <row r="1154" spans="1:6" x14ac:dyDescent="0.25">
      <c r="A1154">
        <v>1153</v>
      </c>
      <c r="B1154" s="1">
        <v>45781</v>
      </c>
      <c r="C1154" s="2" t="s">
        <v>23</v>
      </c>
      <c r="D1154">
        <v>10.5</v>
      </c>
      <c r="E1154">
        <v>21</v>
      </c>
      <c r="F1154">
        <v>220.5</v>
      </c>
    </row>
    <row r="1155" spans="1:6" x14ac:dyDescent="0.25">
      <c r="A1155">
        <v>1154</v>
      </c>
      <c r="B1155" s="1">
        <v>45763</v>
      </c>
      <c r="C1155" s="2" t="s">
        <v>9</v>
      </c>
      <c r="D1155">
        <v>45.95</v>
      </c>
      <c r="E1155">
        <v>141</v>
      </c>
      <c r="F1155">
        <v>6478.9500000000007</v>
      </c>
    </row>
    <row r="1156" spans="1:6" x14ac:dyDescent="0.25">
      <c r="A1156">
        <v>1155</v>
      </c>
      <c r="B1156" s="1">
        <v>45823</v>
      </c>
      <c r="C1156" s="2" t="s">
        <v>12</v>
      </c>
      <c r="D1156">
        <v>26.46</v>
      </c>
      <c r="E1156">
        <v>220</v>
      </c>
      <c r="F1156">
        <v>5821.2</v>
      </c>
    </row>
    <row r="1157" spans="1:6" x14ac:dyDescent="0.25">
      <c r="A1157">
        <v>1156</v>
      </c>
      <c r="B1157" s="1">
        <v>45836</v>
      </c>
      <c r="C1157" s="2" t="s">
        <v>27</v>
      </c>
      <c r="D1157">
        <v>27.44</v>
      </c>
      <c r="E1157">
        <v>225</v>
      </c>
      <c r="F1157">
        <v>6174</v>
      </c>
    </row>
    <row r="1158" spans="1:6" x14ac:dyDescent="0.25">
      <c r="A1158">
        <v>1157</v>
      </c>
      <c r="B1158" s="1">
        <v>45693</v>
      </c>
      <c r="C1158" s="2" t="s">
        <v>14</v>
      </c>
      <c r="D1158">
        <v>107.94</v>
      </c>
      <c r="E1158">
        <v>81</v>
      </c>
      <c r="F1158">
        <v>8743.14</v>
      </c>
    </row>
    <row r="1159" spans="1:6" x14ac:dyDescent="0.25">
      <c r="A1159">
        <v>1158</v>
      </c>
      <c r="B1159" s="1">
        <v>45795</v>
      </c>
      <c r="C1159" s="2" t="s">
        <v>30</v>
      </c>
      <c r="D1159">
        <v>82.59</v>
      </c>
      <c r="E1159">
        <v>17</v>
      </c>
      <c r="F1159">
        <v>1404.03</v>
      </c>
    </row>
    <row r="1160" spans="1:6" x14ac:dyDescent="0.25">
      <c r="A1160">
        <v>1159</v>
      </c>
      <c r="B1160" s="1">
        <v>45767</v>
      </c>
      <c r="C1160" s="2" t="s">
        <v>16</v>
      </c>
      <c r="D1160">
        <v>63.61</v>
      </c>
      <c r="E1160">
        <v>147</v>
      </c>
      <c r="F1160">
        <v>9350.67</v>
      </c>
    </row>
    <row r="1161" spans="1:6" x14ac:dyDescent="0.25">
      <c r="A1161">
        <v>1160</v>
      </c>
      <c r="B1161" s="1">
        <v>45826</v>
      </c>
      <c r="C1161" s="2" t="s">
        <v>26</v>
      </c>
      <c r="D1161">
        <v>100.06</v>
      </c>
      <c r="E1161">
        <v>96</v>
      </c>
      <c r="F1161">
        <v>9605.76</v>
      </c>
    </row>
    <row r="1162" spans="1:6" x14ac:dyDescent="0.25">
      <c r="A1162">
        <v>1161</v>
      </c>
      <c r="B1162" s="1">
        <v>45729</v>
      </c>
      <c r="C1162" s="2" t="s">
        <v>19</v>
      </c>
      <c r="D1162">
        <v>101.33</v>
      </c>
      <c r="E1162">
        <v>30</v>
      </c>
      <c r="F1162">
        <v>3039.9</v>
      </c>
    </row>
    <row r="1163" spans="1:6" x14ac:dyDescent="0.25">
      <c r="A1163">
        <v>1162</v>
      </c>
      <c r="B1163" s="1">
        <v>45727</v>
      </c>
      <c r="C1163" s="2" t="s">
        <v>16</v>
      </c>
      <c r="D1163">
        <v>127.1</v>
      </c>
      <c r="E1163">
        <v>101</v>
      </c>
      <c r="F1163">
        <v>12837.099999999999</v>
      </c>
    </row>
    <row r="1164" spans="1:6" x14ac:dyDescent="0.25">
      <c r="A1164">
        <v>1163</v>
      </c>
      <c r="B1164" s="1">
        <v>45696</v>
      </c>
      <c r="C1164" s="2" t="s">
        <v>23</v>
      </c>
      <c r="D1164">
        <v>17.14</v>
      </c>
      <c r="E1164">
        <v>132</v>
      </c>
      <c r="F1164">
        <v>2262.48</v>
      </c>
    </row>
    <row r="1165" spans="1:6" x14ac:dyDescent="0.25">
      <c r="A1165">
        <v>1164</v>
      </c>
      <c r="B1165" s="1">
        <v>45692</v>
      </c>
      <c r="C1165" s="2" t="s">
        <v>9</v>
      </c>
      <c r="D1165">
        <v>144.35</v>
      </c>
      <c r="E1165">
        <v>58</v>
      </c>
      <c r="F1165">
        <v>8372.2999999999993</v>
      </c>
    </row>
    <row r="1166" spans="1:6" x14ac:dyDescent="0.25">
      <c r="A1166">
        <v>1165</v>
      </c>
      <c r="B1166" s="1">
        <v>45803</v>
      </c>
      <c r="C1166" s="2" t="s">
        <v>17</v>
      </c>
      <c r="D1166">
        <v>34.4</v>
      </c>
      <c r="E1166">
        <v>31</v>
      </c>
      <c r="F1166">
        <v>1066.3999999999999</v>
      </c>
    </row>
    <row r="1167" spans="1:6" x14ac:dyDescent="0.25">
      <c r="A1167">
        <v>1166</v>
      </c>
      <c r="B1167" s="1">
        <v>45824</v>
      </c>
      <c r="C1167" s="2" t="s">
        <v>17</v>
      </c>
      <c r="D1167">
        <v>84.14</v>
      </c>
      <c r="E1167">
        <v>150</v>
      </c>
      <c r="F1167">
        <v>12621</v>
      </c>
    </row>
    <row r="1168" spans="1:6" x14ac:dyDescent="0.25">
      <c r="A1168">
        <v>1167</v>
      </c>
      <c r="B1168" s="1">
        <v>45811</v>
      </c>
      <c r="C1168" s="2" t="s">
        <v>9</v>
      </c>
      <c r="D1168">
        <v>48.22</v>
      </c>
      <c r="E1168">
        <v>113</v>
      </c>
      <c r="F1168">
        <v>5448.86</v>
      </c>
    </row>
    <row r="1169" spans="1:6" x14ac:dyDescent="0.25">
      <c r="A1169">
        <v>1168</v>
      </c>
      <c r="B1169" s="1">
        <v>45715</v>
      </c>
      <c r="C1169" s="2" t="s">
        <v>23</v>
      </c>
      <c r="D1169">
        <v>69.09</v>
      </c>
      <c r="E1169">
        <v>23</v>
      </c>
      <c r="F1169">
        <v>1589.0700000000002</v>
      </c>
    </row>
    <row r="1170" spans="1:6" x14ac:dyDescent="0.25">
      <c r="A1170">
        <v>1169</v>
      </c>
      <c r="B1170" s="1">
        <v>45667</v>
      </c>
      <c r="C1170" s="2" t="s">
        <v>21</v>
      </c>
      <c r="D1170">
        <v>76.959999999999994</v>
      </c>
      <c r="E1170">
        <v>63</v>
      </c>
      <c r="F1170">
        <v>4848.4799999999996</v>
      </c>
    </row>
    <row r="1171" spans="1:6" x14ac:dyDescent="0.25">
      <c r="A1171">
        <v>1170</v>
      </c>
      <c r="B1171" s="1">
        <v>45677</v>
      </c>
      <c r="C1171" s="2" t="s">
        <v>17</v>
      </c>
      <c r="D1171">
        <v>87.04</v>
      </c>
      <c r="E1171">
        <v>178</v>
      </c>
      <c r="F1171">
        <v>15493.12</v>
      </c>
    </row>
    <row r="1172" spans="1:6" x14ac:dyDescent="0.25">
      <c r="A1172">
        <v>1171</v>
      </c>
      <c r="B1172" s="1">
        <v>45670</v>
      </c>
      <c r="C1172" s="2" t="s">
        <v>15</v>
      </c>
      <c r="D1172">
        <v>103.09</v>
      </c>
      <c r="E1172">
        <v>135</v>
      </c>
      <c r="F1172">
        <v>13917.15</v>
      </c>
    </row>
    <row r="1173" spans="1:6" x14ac:dyDescent="0.25">
      <c r="A1173">
        <v>1172</v>
      </c>
      <c r="B1173" s="1">
        <v>45684</v>
      </c>
      <c r="C1173" s="2" t="s">
        <v>17</v>
      </c>
      <c r="D1173">
        <v>69.67</v>
      </c>
      <c r="E1173">
        <v>26</v>
      </c>
      <c r="F1173">
        <v>1811.42</v>
      </c>
    </row>
    <row r="1174" spans="1:6" x14ac:dyDescent="0.25">
      <c r="A1174">
        <v>1173</v>
      </c>
      <c r="B1174" s="1">
        <v>45760</v>
      </c>
      <c r="C1174" s="2" t="s">
        <v>25</v>
      </c>
      <c r="D1174">
        <v>134.83000000000001</v>
      </c>
      <c r="E1174">
        <v>50</v>
      </c>
      <c r="F1174">
        <v>6741.5000000000009</v>
      </c>
    </row>
    <row r="1175" spans="1:6" x14ac:dyDescent="0.25">
      <c r="A1175">
        <v>1174</v>
      </c>
      <c r="B1175" s="1">
        <v>45667</v>
      </c>
      <c r="C1175" s="2" t="s">
        <v>10</v>
      </c>
      <c r="D1175">
        <v>39.770000000000003</v>
      </c>
      <c r="E1175">
        <v>33</v>
      </c>
      <c r="F1175">
        <v>1312.41</v>
      </c>
    </row>
    <row r="1176" spans="1:6" x14ac:dyDescent="0.25">
      <c r="A1176">
        <v>1175</v>
      </c>
      <c r="B1176" s="1">
        <v>45683</v>
      </c>
      <c r="C1176" s="2" t="s">
        <v>28</v>
      </c>
      <c r="D1176">
        <v>20.309999999999999</v>
      </c>
      <c r="E1176">
        <v>171</v>
      </c>
      <c r="F1176">
        <v>3473.0099999999998</v>
      </c>
    </row>
    <row r="1177" spans="1:6" x14ac:dyDescent="0.25">
      <c r="A1177">
        <v>1176</v>
      </c>
      <c r="B1177" s="1">
        <v>45822</v>
      </c>
      <c r="C1177" s="2" t="s">
        <v>13</v>
      </c>
      <c r="D1177">
        <v>141.5</v>
      </c>
      <c r="E1177">
        <v>42</v>
      </c>
      <c r="F1177">
        <v>5943</v>
      </c>
    </row>
    <row r="1178" spans="1:6" x14ac:dyDescent="0.25">
      <c r="A1178">
        <v>1177</v>
      </c>
      <c r="B1178" s="1">
        <v>45745</v>
      </c>
      <c r="C1178" s="2" t="s">
        <v>20</v>
      </c>
      <c r="D1178">
        <v>46.43</v>
      </c>
      <c r="E1178">
        <v>37</v>
      </c>
      <c r="F1178">
        <v>1717.91</v>
      </c>
    </row>
    <row r="1179" spans="1:6" x14ac:dyDescent="0.25">
      <c r="A1179">
        <v>1178</v>
      </c>
      <c r="B1179" s="1">
        <v>45805</v>
      </c>
      <c r="C1179" s="2" t="s">
        <v>7</v>
      </c>
      <c r="D1179">
        <v>86.93</v>
      </c>
      <c r="E1179">
        <v>156</v>
      </c>
      <c r="F1179">
        <v>13561.080000000002</v>
      </c>
    </row>
    <row r="1180" spans="1:6" x14ac:dyDescent="0.25">
      <c r="A1180">
        <v>1179</v>
      </c>
      <c r="B1180" s="1">
        <v>45661</v>
      </c>
      <c r="C1180" s="2" t="s">
        <v>13</v>
      </c>
      <c r="D1180">
        <v>127.39</v>
      </c>
      <c r="E1180">
        <v>115</v>
      </c>
      <c r="F1180">
        <v>14649.85</v>
      </c>
    </row>
    <row r="1181" spans="1:6" x14ac:dyDescent="0.25">
      <c r="A1181">
        <v>1180</v>
      </c>
      <c r="B1181" s="1">
        <v>45660</v>
      </c>
      <c r="C1181" s="2" t="s">
        <v>24</v>
      </c>
      <c r="D1181">
        <v>34.58</v>
      </c>
      <c r="E1181">
        <v>232</v>
      </c>
      <c r="F1181">
        <v>8022.5599999999995</v>
      </c>
    </row>
    <row r="1182" spans="1:6" x14ac:dyDescent="0.25">
      <c r="A1182">
        <v>1181</v>
      </c>
      <c r="B1182" s="1">
        <v>45665</v>
      </c>
      <c r="C1182" s="2" t="s">
        <v>7</v>
      </c>
      <c r="D1182">
        <v>101.42</v>
      </c>
      <c r="E1182">
        <v>85</v>
      </c>
      <c r="F1182">
        <v>8620.7000000000007</v>
      </c>
    </row>
    <row r="1183" spans="1:6" x14ac:dyDescent="0.25">
      <c r="A1183">
        <v>1182</v>
      </c>
      <c r="B1183" s="1">
        <v>45800</v>
      </c>
      <c r="C1183" s="2" t="s">
        <v>13</v>
      </c>
      <c r="D1183">
        <v>87.15</v>
      </c>
      <c r="E1183">
        <v>179</v>
      </c>
      <c r="F1183">
        <v>15599.85</v>
      </c>
    </row>
    <row r="1184" spans="1:6" x14ac:dyDescent="0.25">
      <c r="A1184">
        <v>1183</v>
      </c>
      <c r="B1184" s="1">
        <v>45724</v>
      </c>
      <c r="C1184" s="2" t="s">
        <v>22</v>
      </c>
      <c r="D1184">
        <v>23.28</v>
      </c>
      <c r="E1184">
        <v>119</v>
      </c>
      <c r="F1184">
        <v>2770.32</v>
      </c>
    </row>
    <row r="1185" spans="1:6" x14ac:dyDescent="0.25">
      <c r="A1185">
        <v>1184</v>
      </c>
      <c r="B1185" s="1">
        <v>45782</v>
      </c>
      <c r="C1185" s="2" t="s">
        <v>11</v>
      </c>
      <c r="D1185">
        <v>27.05</v>
      </c>
      <c r="E1185">
        <v>249</v>
      </c>
      <c r="F1185">
        <v>6735.45</v>
      </c>
    </row>
    <row r="1186" spans="1:6" x14ac:dyDescent="0.25">
      <c r="A1186">
        <v>1185</v>
      </c>
      <c r="B1186" s="1">
        <v>45768</v>
      </c>
      <c r="C1186" s="2" t="s">
        <v>14</v>
      </c>
      <c r="D1186">
        <v>52.06</v>
      </c>
      <c r="E1186">
        <v>59</v>
      </c>
      <c r="F1186">
        <v>3071.54</v>
      </c>
    </row>
    <row r="1187" spans="1:6" x14ac:dyDescent="0.25">
      <c r="A1187">
        <v>1186</v>
      </c>
      <c r="B1187" s="1">
        <v>45822</v>
      </c>
      <c r="C1187" s="2" t="s">
        <v>7</v>
      </c>
      <c r="D1187">
        <v>93.02</v>
      </c>
      <c r="E1187">
        <v>97</v>
      </c>
      <c r="F1187">
        <v>9022.94</v>
      </c>
    </row>
    <row r="1188" spans="1:6" x14ac:dyDescent="0.25">
      <c r="A1188">
        <v>1187</v>
      </c>
      <c r="B1188" s="1">
        <v>45718</v>
      </c>
      <c r="C1188" s="2" t="s">
        <v>27</v>
      </c>
      <c r="D1188">
        <v>70.86</v>
      </c>
      <c r="E1188">
        <v>143</v>
      </c>
      <c r="F1188">
        <v>10132.98</v>
      </c>
    </row>
    <row r="1189" spans="1:6" x14ac:dyDescent="0.25">
      <c r="A1189">
        <v>1188</v>
      </c>
      <c r="B1189" s="1">
        <v>45672</v>
      </c>
      <c r="C1189" s="2" t="s">
        <v>6</v>
      </c>
      <c r="D1189">
        <v>72.77</v>
      </c>
      <c r="E1189">
        <v>102</v>
      </c>
      <c r="F1189">
        <v>7422.54</v>
      </c>
    </row>
    <row r="1190" spans="1:6" x14ac:dyDescent="0.25">
      <c r="A1190">
        <v>1189</v>
      </c>
      <c r="B1190" s="1">
        <v>45669</v>
      </c>
      <c r="C1190" s="2" t="s">
        <v>15</v>
      </c>
      <c r="D1190">
        <v>63.32</v>
      </c>
      <c r="E1190">
        <v>77</v>
      </c>
      <c r="F1190">
        <v>4875.6400000000003</v>
      </c>
    </row>
    <row r="1191" spans="1:6" x14ac:dyDescent="0.25">
      <c r="A1191">
        <v>1190</v>
      </c>
      <c r="B1191" s="1">
        <v>45767</v>
      </c>
      <c r="C1191" s="2" t="s">
        <v>17</v>
      </c>
      <c r="D1191">
        <v>96.72</v>
      </c>
      <c r="E1191">
        <v>106</v>
      </c>
      <c r="F1191">
        <v>10252.32</v>
      </c>
    </row>
    <row r="1192" spans="1:6" x14ac:dyDescent="0.25">
      <c r="A1192">
        <v>1191</v>
      </c>
      <c r="B1192" s="1">
        <v>45770</v>
      </c>
      <c r="C1192" s="2" t="s">
        <v>9</v>
      </c>
      <c r="D1192">
        <v>40.46</v>
      </c>
      <c r="E1192">
        <v>105</v>
      </c>
      <c r="F1192">
        <v>4248.3</v>
      </c>
    </row>
    <row r="1193" spans="1:6" x14ac:dyDescent="0.25">
      <c r="A1193">
        <v>1192</v>
      </c>
      <c r="B1193" s="1">
        <v>45835</v>
      </c>
      <c r="C1193" s="2" t="s">
        <v>28</v>
      </c>
      <c r="D1193">
        <v>20.34</v>
      </c>
      <c r="E1193">
        <v>43</v>
      </c>
      <c r="F1193">
        <v>874.62</v>
      </c>
    </row>
    <row r="1194" spans="1:6" x14ac:dyDescent="0.25">
      <c r="A1194">
        <v>1193</v>
      </c>
      <c r="B1194" s="1">
        <v>45667</v>
      </c>
      <c r="C1194" s="2" t="s">
        <v>19</v>
      </c>
      <c r="D1194">
        <v>45.07</v>
      </c>
      <c r="E1194">
        <v>98</v>
      </c>
      <c r="F1194">
        <v>4416.8599999999997</v>
      </c>
    </row>
    <row r="1195" spans="1:6" x14ac:dyDescent="0.25">
      <c r="A1195">
        <v>1194</v>
      </c>
      <c r="B1195" s="1">
        <v>45668</v>
      </c>
      <c r="C1195" s="2" t="s">
        <v>13</v>
      </c>
      <c r="D1195">
        <v>62.8</v>
      </c>
      <c r="E1195">
        <v>245</v>
      </c>
      <c r="F1195">
        <v>15386</v>
      </c>
    </row>
    <row r="1196" spans="1:6" x14ac:dyDescent="0.25">
      <c r="A1196">
        <v>1195</v>
      </c>
      <c r="B1196" s="1">
        <v>45722</v>
      </c>
      <c r="C1196" s="2" t="s">
        <v>23</v>
      </c>
      <c r="D1196">
        <v>65.55</v>
      </c>
      <c r="E1196">
        <v>81</v>
      </c>
      <c r="F1196">
        <v>5309.55</v>
      </c>
    </row>
    <row r="1197" spans="1:6" x14ac:dyDescent="0.25">
      <c r="A1197">
        <v>1196</v>
      </c>
      <c r="B1197" s="1">
        <v>45830</v>
      </c>
      <c r="C1197" s="2" t="s">
        <v>8</v>
      </c>
      <c r="D1197">
        <v>69.849999999999994</v>
      </c>
      <c r="E1197">
        <v>164</v>
      </c>
      <c r="F1197">
        <v>11455.4</v>
      </c>
    </row>
    <row r="1198" spans="1:6" x14ac:dyDescent="0.25">
      <c r="A1198">
        <v>1197</v>
      </c>
      <c r="B1198" s="1">
        <v>45794</v>
      </c>
      <c r="C1198" s="2" t="s">
        <v>14</v>
      </c>
      <c r="D1198">
        <v>30.47</v>
      </c>
      <c r="E1198">
        <v>239</v>
      </c>
      <c r="F1198">
        <v>7282.33</v>
      </c>
    </row>
    <row r="1199" spans="1:6" x14ac:dyDescent="0.25">
      <c r="A1199">
        <v>1198</v>
      </c>
      <c r="B1199" s="1">
        <v>45691</v>
      </c>
      <c r="C1199" s="2" t="s">
        <v>25</v>
      </c>
      <c r="D1199">
        <v>48.1</v>
      </c>
      <c r="E1199">
        <v>37</v>
      </c>
      <c r="F1199">
        <v>1779.7</v>
      </c>
    </row>
    <row r="1200" spans="1:6" x14ac:dyDescent="0.25">
      <c r="A1200">
        <v>1199</v>
      </c>
      <c r="B1200" s="1">
        <v>45837</v>
      </c>
      <c r="C1200" s="2" t="s">
        <v>15</v>
      </c>
      <c r="D1200">
        <v>84.96</v>
      </c>
      <c r="E1200">
        <v>97</v>
      </c>
      <c r="F1200">
        <v>8241.119999999999</v>
      </c>
    </row>
    <row r="1201" spans="1:6" x14ac:dyDescent="0.25">
      <c r="A1201">
        <v>1200</v>
      </c>
      <c r="B1201" s="1">
        <v>45687</v>
      </c>
      <c r="C1201" s="2" t="s">
        <v>19</v>
      </c>
      <c r="D1201">
        <v>38.69</v>
      </c>
      <c r="E1201">
        <v>63</v>
      </c>
      <c r="F1201">
        <v>2437.4699999999998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DE267-2767-4255-9E79-D5F8C882BD93}">
  <dimension ref="A1:B13"/>
  <sheetViews>
    <sheetView workbookViewId="0">
      <selection sqref="A1:B13"/>
    </sheetView>
  </sheetViews>
  <sheetFormatPr defaultRowHeight="15" x14ac:dyDescent="0.25"/>
  <cols>
    <col min="1" max="1" width="12.42578125" bestFit="1" customWidth="1"/>
    <col min="2" max="2" width="21.7109375" bestFit="1" customWidth="1"/>
  </cols>
  <sheetData>
    <row r="1" spans="1:2" x14ac:dyDescent="0.25">
      <c r="A1" t="s">
        <v>49</v>
      </c>
      <c r="B1" t="s">
        <v>50</v>
      </c>
    </row>
    <row r="2" spans="1:2" x14ac:dyDescent="0.25">
      <c r="A2">
        <v>1</v>
      </c>
      <c r="B2" s="2" t="s">
        <v>51</v>
      </c>
    </row>
    <row r="3" spans="1:2" x14ac:dyDescent="0.25">
      <c r="A3">
        <v>2</v>
      </c>
      <c r="B3" s="2" t="s">
        <v>52</v>
      </c>
    </row>
    <row r="4" spans="1:2" x14ac:dyDescent="0.25">
      <c r="A4">
        <v>3</v>
      </c>
      <c r="B4" s="2" t="s">
        <v>53</v>
      </c>
    </row>
    <row r="5" spans="1:2" x14ac:dyDescent="0.25">
      <c r="A5">
        <v>4</v>
      </c>
      <c r="B5" s="2" t="s">
        <v>54</v>
      </c>
    </row>
    <row r="6" spans="1:2" x14ac:dyDescent="0.25">
      <c r="A6">
        <v>5</v>
      </c>
      <c r="B6" s="2" t="s">
        <v>55</v>
      </c>
    </row>
    <row r="7" spans="1:2" x14ac:dyDescent="0.25">
      <c r="A7">
        <v>6</v>
      </c>
      <c r="B7" s="2" t="s">
        <v>56</v>
      </c>
    </row>
    <row r="8" spans="1:2" x14ac:dyDescent="0.25">
      <c r="A8">
        <v>7</v>
      </c>
      <c r="B8" s="2" t="s">
        <v>57</v>
      </c>
    </row>
    <row r="9" spans="1:2" x14ac:dyDescent="0.25">
      <c r="A9">
        <v>8</v>
      </c>
      <c r="B9" s="2" t="s">
        <v>58</v>
      </c>
    </row>
    <row r="10" spans="1:2" x14ac:dyDescent="0.25">
      <c r="A10">
        <v>9</v>
      </c>
      <c r="B10" s="2" t="s">
        <v>59</v>
      </c>
    </row>
    <row r="11" spans="1:2" x14ac:dyDescent="0.25">
      <c r="A11">
        <v>10</v>
      </c>
      <c r="B11" s="2" t="s">
        <v>60</v>
      </c>
    </row>
    <row r="12" spans="1:2" x14ac:dyDescent="0.25">
      <c r="A12">
        <v>11</v>
      </c>
      <c r="B12" s="2" t="s">
        <v>61</v>
      </c>
    </row>
    <row r="13" spans="1:2" x14ac:dyDescent="0.25">
      <c r="A13">
        <v>12</v>
      </c>
      <c r="B13" s="2" t="s">
        <v>62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74F16-D36C-4C5F-9F83-67868A21DD47}">
  <dimension ref="A1:D181"/>
  <sheetViews>
    <sheetView workbookViewId="0">
      <selection sqref="A1:B181"/>
    </sheetView>
  </sheetViews>
  <sheetFormatPr defaultRowHeight="15" x14ac:dyDescent="0.25"/>
  <cols>
    <col min="1" max="1" width="8.42578125" bestFit="1" customWidth="1"/>
    <col min="2" max="2" width="9.28515625" bestFit="1" customWidth="1"/>
    <col min="3" max="3" width="19.7109375" bestFit="1" customWidth="1"/>
    <col min="4" max="4" width="14.140625" bestFit="1" customWidth="1"/>
  </cols>
  <sheetData>
    <row r="1" spans="1:4" x14ac:dyDescent="0.25">
      <c r="A1" t="s">
        <v>2</v>
      </c>
      <c r="B1" t="s">
        <v>31</v>
      </c>
      <c r="C1" t="s">
        <v>63</v>
      </c>
      <c r="D1" t="s">
        <v>64</v>
      </c>
    </row>
    <row r="2" spans="1:4" x14ac:dyDescent="0.25">
      <c r="A2" s="1">
        <v>45762</v>
      </c>
      <c r="B2">
        <v>4</v>
      </c>
      <c r="C2">
        <v>4</v>
      </c>
      <c r="D2" t="s">
        <v>65</v>
      </c>
    </row>
    <row r="3" spans="1:4" x14ac:dyDescent="0.25">
      <c r="A3" s="1">
        <v>45658</v>
      </c>
      <c r="B3">
        <v>1</v>
      </c>
      <c r="C3">
        <v>1</v>
      </c>
      <c r="D3" t="s">
        <v>66</v>
      </c>
    </row>
    <row r="4" spans="1:4" x14ac:dyDescent="0.25">
      <c r="A4" s="1">
        <v>45746</v>
      </c>
      <c r="B4">
        <v>3</v>
      </c>
      <c r="C4">
        <v>3</v>
      </c>
      <c r="D4" t="s">
        <v>67</v>
      </c>
    </row>
    <row r="5" spans="1:4" x14ac:dyDescent="0.25">
      <c r="A5" s="1">
        <v>45667</v>
      </c>
      <c r="B5">
        <v>1</v>
      </c>
      <c r="C5">
        <v>1</v>
      </c>
      <c r="D5" t="s">
        <v>66</v>
      </c>
    </row>
    <row r="6" spans="1:4" x14ac:dyDescent="0.25">
      <c r="A6" s="1">
        <v>45709</v>
      </c>
      <c r="B6">
        <v>2</v>
      </c>
      <c r="C6">
        <v>2</v>
      </c>
      <c r="D6" t="s">
        <v>68</v>
      </c>
    </row>
    <row r="7" spans="1:4" x14ac:dyDescent="0.25">
      <c r="A7" s="1">
        <v>45717</v>
      </c>
      <c r="B7">
        <v>3</v>
      </c>
      <c r="C7">
        <v>3</v>
      </c>
      <c r="D7" t="s">
        <v>67</v>
      </c>
    </row>
    <row r="8" spans="1:4" x14ac:dyDescent="0.25">
      <c r="A8" s="1">
        <v>45691</v>
      </c>
      <c r="B8">
        <v>2</v>
      </c>
      <c r="C8">
        <v>2</v>
      </c>
      <c r="D8" t="s">
        <v>68</v>
      </c>
    </row>
    <row r="9" spans="1:4" x14ac:dyDescent="0.25">
      <c r="A9" s="1">
        <v>45806</v>
      </c>
      <c r="B9">
        <v>5</v>
      </c>
      <c r="C9">
        <v>5</v>
      </c>
      <c r="D9" t="s">
        <v>69</v>
      </c>
    </row>
    <row r="10" spans="1:4" x14ac:dyDescent="0.25">
      <c r="A10" s="1">
        <v>45791</v>
      </c>
      <c r="B10">
        <v>5</v>
      </c>
      <c r="C10">
        <v>5</v>
      </c>
      <c r="D10" t="s">
        <v>69</v>
      </c>
    </row>
    <row r="11" spans="1:4" x14ac:dyDescent="0.25">
      <c r="A11" s="1">
        <v>45794</v>
      </c>
      <c r="B11">
        <v>5</v>
      </c>
      <c r="C11">
        <v>5</v>
      </c>
      <c r="D11" t="s">
        <v>69</v>
      </c>
    </row>
    <row r="12" spans="1:4" x14ac:dyDescent="0.25">
      <c r="A12" s="1">
        <v>45672</v>
      </c>
      <c r="B12">
        <v>1</v>
      </c>
      <c r="C12">
        <v>1</v>
      </c>
      <c r="D12" t="s">
        <v>66</v>
      </c>
    </row>
    <row r="13" spans="1:4" x14ac:dyDescent="0.25">
      <c r="A13" s="1">
        <v>45824</v>
      </c>
      <c r="B13">
        <v>6</v>
      </c>
      <c r="C13">
        <v>6</v>
      </c>
      <c r="D13" t="s">
        <v>70</v>
      </c>
    </row>
    <row r="14" spans="1:4" x14ac:dyDescent="0.25">
      <c r="A14" s="1">
        <v>45747</v>
      </c>
      <c r="B14">
        <v>3</v>
      </c>
      <c r="C14">
        <v>3</v>
      </c>
      <c r="D14" t="s">
        <v>67</v>
      </c>
    </row>
    <row r="15" spans="1:4" x14ac:dyDescent="0.25">
      <c r="A15" s="1">
        <v>45702</v>
      </c>
      <c r="B15">
        <v>2</v>
      </c>
      <c r="C15">
        <v>2</v>
      </c>
      <c r="D15" t="s">
        <v>68</v>
      </c>
    </row>
    <row r="16" spans="1:4" x14ac:dyDescent="0.25">
      <c r="A16" s="1">
        <v>45790</v>
      </c>
      <c r="B16">
        <v>5</v>
      </c>
      <c r="C16">
        <v>5</v>
      </c>
      <c r="D16" t="s">
        <v>69</v>
      </c>
    </row>
    <row r="17" spans="1:4" x14ac:dyDescent="0.25">
      <c r="A17" s="1">
        <v>45812</v>
      </c>
      <c r="B17">
        <v>6</v>
      </c>
      <c r="C17">
        <v>6</v>
      </c>
      <c r="D17" t="s">
        <v>70</v>
      </c>
    </row>
    <row r="18" spans="1:4" x14ac:dyDescent="0.25">
      <c r="A18" s="1">
        <v>45721</v>
      </c>
      <c r="B18">
        <v>3</v>
      </c>
      <c r="C18">
        <v>3</v>
      </c>
      <c r="D18" t="s">
        <v>67</v>
      </c>
    </row>
    <row r="19" spans="1:4" x14ac:dyDescent="0.25">
      <c r="A19" s="1">
        <v>45696</v>
      </c>
      <c r="B19">
        <v>2</v>
      </c>
      <c r="C19">
        <v>2</v>
      </c>
      <c r="D19" t="s">
        <v>68</v>
      </c>
    </row>
    <row r="20" spans="1:4" x14ac:dyDescent="0.25">
      <c r="A20" s="1">
        <v>45748</v>
      </c>
      <c r="B20">
        <v>4</v>
      </c>
      <c r="C20">
        <v>4</v>
      </c>
      <c r="D20" t="s">
        <v>65</v>
      </c>
    </row>
    <row r="21" spans="1:4" x14ac:dyDescent="0.25">
      <c r="A21" s="1">
        <v>45764</v>
      </c>
      <c r="B21">
        <v>4</v>
      </c>
      <c r="C21">
        <v>4</v>
      </c>
      <c r="D21" t="s">
        <v>65</v>
      </c>
    </row>
    <row r="22" spans="1:4" x14ac:dyDescent="0.25">
      <c r="A22" s="1">
        <v>45820</v>
      </c>
      <c r="B22">
        <v>6</v>
      </c>
      <c r="C22">
        <v>6</v>
      </c>
      <c r="D22" t="s">
        <v>70</v>
      </c>
    </row>
    <row r="23" spans="1:4" x14ac:dyDescent="0.25">
      <c r="A23" s="1">
        <v>45722</v>
      </c>
      <c r="B23">
        <v>3</v>
      </c>
      <c r="C23">
        <v>3</v>
      </c>
      <c r="D23" t="s">
        <v>67</v>
      </c>
    </row>
    <row r="24" spans="1:4" x14ac:dyDescent="0.25">
      <c r="A24" s="1">
        <v>45734</v>
      </c>
      <c r="B24">
        <v>3</v>
      </c>
      <c r="C24">
        <v>3</v>
      </c>
      <c r="D24" t="s">
        <v>67</v>
      </c>
    </row>
    <row r="25" spans="1:4" x14ac:dyDescent="0.25">
      <c r="A25" s="1">
        <v>45719</v>
      </c>
      <c r="B25">
        <v>3</v>
      </c>
      <c r="C25">
        <v>3</v>
      </c>
      <c r="D25" t="s">
        <v>67</v>
      </c>
    </row>
    <row r="26" spans="1:4" x14ac:dyDescent="0.25">
      <c r="A26" s="1">
        <v>45664</v>
      </c>
      <c r="B26">
        <v>1</v>
      </c>
      <c r="C26">
        <v>1</v>
      </c>
      <c r="D26" t="s">
        <v>66</v>
      </c>
    </row>
    <row r="27" spans="1:4" x14ac:dyDescent="0.25">
      <c r="A27" s="1">
        <v>45670</v>
      </c>
      <c r="B27">
        <v>1</v>
      </c>
      <c r="C27">
        <v>1</v>
      </c>
      <c r="D27" t="s">
        <v>66</v>
      </c>
    </row>
    <row r="28" spans="1:4" x14ac:dyDescent="0.25">
      <c r="A28" s="1">
        <v>45731</v>
      </c>
      <c r="B28">
        <v>3</v>
      </c>
      <c r="C28">
        <v>3</v>
      </c>
      <c r="D28" t="s">
        <v>67</v>
      </c>
    </row>
    <row r="29" spans="1:4" x14ac:dyDescent="0.25">
      <c r="A29" s="1">
        <v>45789</v>
      </c>
      <c r="B29">
        <v>5</v>
      </c>
      <c r="C29">
        <v>5</v>
      </c>
      <c r="D29" t="s">
        <v>69</v>
      </c>
    </row>
    <row r="30" spans="1:4" x14ac:dyDescent="0.25">
      <c r="A30" s="1">
        <v>45678</v>
      </c>
      <c r="B30">
        <v>1</v>
      </c>
      <c r="C30">
        <v>1</v>
      </c>
      <c r="D30" t="s">
        <v>66</v>
      </c>
    </row>
    <row r="31" spans="1:4" x14ac:dyDescent="0.25">
      <c r="A31" s="1">
        <v>45758</v>
      </c>
      <c r="B31">
        <v>4</v>
      </c>
      <c r="C31">
        <v>4</v>
      </c>
      <c r="D31" t="s">
        <v>65</v>
      </c>
    </row>
    <row r="32" spans="1:4" x14ac:dyDescent="0.25">
      <c r="A32" s="1">
        <v>45718</v>
      </c>
      <c r="B32">
        <v>3</v>
      </c>
      <c r="C32">
        <v>3</v>
      </c>
      <c r="D32" t="s">
        <v>67</v>
      </c>
    </row>
    <row r="33" spans="1:4" x14ac:dyDescent="0.25">
      <c r="A33" s="1">
        <v>45684</v>
      </c>
      <c r="B33">
        <v>1</v>
      </c>
      <c r="C33">
        <v>1</v>
      </c>
      <c r="D33" t="s">
        <v>66</v>
      </c>
    </row>
    <row r="34" spans="1:4" x14ac:dyDescent="0.25">
      <c r="A34" s="1">
        <v>45797</v>
      </c>
      <c r="B34">
        <v>5</v>
      </c>
      <c r="C34">
        <v>5</v>
      </c>
      <c r="D34" t="s">
        <v>69</v>
      </c>
    </row>
    <row r="35" spans="1:4" x14ac:dyDescent="0.25">
      <c r="A35" s="1">
        <v>45810</v>
      </c>
      <c r="B35">
        <v>6</v>
      </c>
      <c r="C35">
        <v>6</v>
      </c>
      <c r="D35" t="s">
        <v>70</v>
      </c>
    </row>
    <row r="36" spans="1:4" x14ac:dyDescent="0.25">
      <c r="A36" s="1">
        <v>45660</v>
      </c>
      <c r="B36">
        <v>1</v>
      </c>
      <c r="C36">
        <v>1</v>
      </c>
      <c r="D36" t="s">
        <v>66</v>
      </c>
    </row>
    <row r="37" spans="1:4" x14ac:dyDescent="0.25">
      <c r="A37" s="1">
        <v>45724</v>
      </c>
      <c r="B37">
        <v>3</v>
      </c>
      <c r="C37">
        <v>3</v>
      </c>
      <c r="D37" t="s">
        <v>67</v>
      </c>
    </row>
    <row r="38" spans="1:4" x14ac:dyDescent="0.25">
      <c r="A38" s="1">
        <v>45836</v>
      </c>
      <c r="B38">
        <v>6</v>
      </c>
      <c r="C38">
        <v>6</v>
      </c>
      <c r="D38" t="s">
        <v>70</v>
      </c>
    </row>
    <row r="39" spans="1:4" x14ac:dyDescent="0.25">
      <c r="A39" s="1">
        <v>45725</v>
      </c>
      <c r="B39">
        <v>3</v>
      </c>
      <c r="C39">
        <v>3</v>
      </c>
      <c r="D39" t="s">
        <v>67</v>
      </c>
    </row>
    <row r="40" spans="1:4" x14ac:dyDescent="0.25">
      <c r="A40" s="1">
        <v>45663</v>
      </c>
      <c r="B40">
        <v>1</v>
      </c>
      <c r="C40">
        <v>1</v>
      </c>
      <c r="D40" t="s">
        <v>66</v>
      </c>
    </row>
    <row r="41" spans="1:4" x14ac:dyDescent="0.25">
      <c r="A41" s="1">
        <v>45674</v>
      </c>
      <c r="B41">
        <v>1</v>
      </c>
      <c r="C41">
        <v>1</v>
      </c>
      <c r="D41" t="s">
        <v>66</v>
      </c>
    </row>
    <row r="42" spans="1:4" x14ac:dyDescent="0.25">
      <c r="A42" s="1">
        <v>45826</v>
      </c>
      <c r="B42">
        <v>6</v>
      </c>
      <c r="C42">
        <v>6</v>
      </c>
      <c r="D42" t="s">
        <v>70</v>
      </c>
    </row>
    <row r="43" spans="1:4" x14ac:dyDescent="0.25">
      <c r="A43" s="1">
        <v>45700</v>
      </c>
      <c r="B43">
        <v>2</v>
      </c>
      <c r="C43">
        <v>2</v>
      </c>
      <c r="D43" t="s">
        <v>68</v>
      </c>
    </row>
    <row r="44" spans="1:4" x14ac:dyDescent="0.25">
      <c r="A44" s="1">
        <v>45745</v>
      </c>
      <c r="B44">
        <v>3</v>
      </c>
      <c r="C44">
        <v>3</v>
      </c>
      <c r="D44" t="s">
        <v>67</v>
      </c>
    </row>
    <row r="45" spans="1:4" x14ac:dyDescent="0.25">
      <c r="A45" s="1">
        <v>45833</v>
      </c>
      <c r="B45">
        <v>6</v>
      </c>
      <c r="C45">
        <v>6</v>
      </c>
      <c r="D45" t="s">
        <v>70</v>
      </c>
    </row>
    <row r="46" spans="1:4" x14ac:dyDescent="0.25">
      <c r="A46" s="1">
        <v>45729</v>
      </c>
      <c r="B46">
        <v>3</v>
      </c>
      <c r="C46">
        <v>3</v>
      </c>
      <c r="D46" t="s">
        <v>67</v>
      </c>
    </row>
    <row r="47" spans="1:4" x14ac:dyDescent="0.25">
      <c r="A47" s="1">
        <v>45701</v>
      </c>
      <c r="B47">
        <v>2</v>
      </c>
      <c r="C47">
        <v>2</v>
      </c>
      <c r="D47" t="s">
        <v>68</v>
      </c>
    </row>
    <row r="48" spans="1:4" x14ac:dyDescent="0.25">
      <c r="A48" s="1">
        <v>45661</v>
      </c>
      <c r="B48">
        <v>1</v>
      </c>
      <c r="C48">
        <v>1</v>
      </c>
      <c r="D48" t="s">
        <v>66</v>
      </c>
    </row>
    <row r="49" spans="1:4" x14ac:dyDescent="0.25">
      <c r="A49" s="1">
        <v>45814</v>
      </c>
      <c r="B49">
        <v>6</v>
      </c>
      <c r="C49">
        <v>6</v>
      </c>
      <c r="D49" t="s">
        <v>70</v>
      </c>
    </row>
    <row r="50" spans="1:4" x14ac:dyDescent="0.25">
      <c r="A50" s="1">
        <v>45694</v>
      </c>
      <c r="B50">
        <v>2</v>
      </c>
      <c r="C50">
        <v>2</v>
      </c>
      <c r="D50" t="s">
        <v>68</v>
      </c>
    </row>
    <row r="51" spans="1:4" x14ac:dyDescent="0.25">
      <c r="A51" s="1">
        <v>45817</v>
      </c>
      <c r="B51">
        <v>6</v>
      </c>
      <c r="C51">
        <v>6</v>
      </c>
      <c r="D51" t="s">
        <v>70</v>
      </c>
    </row>
    <row r="52" spans="1:4" x14ac:dyDescent="0.25">
      <c r="A52" s="1">
        <v>45783</v>
      </c>
      <c r="B52">
        <v>5</v>
      </c>
      <c r="C52">
        <v>5</v>
      </c>
      <c r="D52" t="s">
        <v>69</v>
      </c>
    </row>
    <row r="53" spans="1:4" x14ac:dyDescent="0.25">
      <c r="A53" s="1">
        <v>45827</v>
      </c>
      <c r="B53">
        <v>6</v>
      </c>
      <c r="C53">
        <v>6</v>
      </c>
      <c r="D53" t="s">
        <v>70</v>
      </c>
    </row>
    <row r="54" spans="1:4" x14ac:dyDescent="0.25">
      <c r="A54" s="1">
        <v>45767</v>
      </c>
      <c r="B54">
        <v>4</v>
      </c>
      <c r="C54">
        <v>4</v>
      </c>
      <c r="D54" t="s">
        <v>65</v>
      </c>
    </row>
    <row r="55" spans="1:4" x14ac:dyDescent="0.25">
      <c r="A55" s="1">
        <v>45807</v>
      </c>
      <c r="B55">
        <v>5</v>
      </c>
      <c r="C55">
        <v>5</v>
      </c>
      <c r="D55" t="s">
        <v>69</v>
      </c>
    </row>
    <row r="56" spans="1:4" x14ac:dyDescent="0.25">
      <c r="A56" s="1">
        <v>45829</v>
      </c>
      <c r="B56">
        <v>6</v>
      </c>
      <c r="C56">
        <v>6</v>
      </c>
      <c r="D56" t="s">
        <v>70</v>
      </c>
    </row>
    <row r="57" spans="1:4" x14ac:dyDescent="0.25">
      <c r="A57" s="1">
        <v>45821</v>
      </c>
      <c r="B57">
        <v>6</v>
      </c>
      <c r="C57">
        <v>6</v>
      </c>
      <c r="D57" t="s">
        <v>70</v>
      </c>
    </row>
    <row r="58" spans="1:4" x14ac:dyDescent="0.25">
      <c r="A58" s="1">
        <v>45776</v>
      </c>
      <c r="B58">
        <v>4</v>
      </c>
      <c r="C58">
        <v>4</v>
      </c>
      <c r="D58" t="s">
        <v>65</v>
      </c>
    </row>
    <row r="59" spans="1:4" x14ac:dyDescent="0.25">
      <c r="A59" s="1">
        <v>45744</v>
      </c>
      <c r="B59">
        <v>3</v>
      </c>
      <c r="C59">
        <v>3</v>
      </c>
      <c r="D59" t="s">
        <v>67</v>
      </c>
    </row>
    <row r="60" spans="1:4" x14ac:dyDescent="0.25">
      <c r="A60" s="1">
        <v>45704</v>
      </c>
      <c r="B60">
        <v>2</v>
      </c>
      <c r="C60">
        <v>2</v>
      </c>
      <c r="D60" t="s">
        <v>68</v>
      </c>
    </row>
    <row r="61" spans="1:4" x14ac:dyDescent="0.25">
      <c r="A61" s="1">
        <v>45714</v>
      </c>
      <c r="B61">
        <v>2</v>
      </c>
      <c r="C61">
        <v>2</v>
      </c>
      <c r="D61" t="s">
        <v>68</v>
      </c>
    </row>
    <row r="62" spans="1:4" x14ac:dyDescent="0.25">
      <c r="A62" s="1">
        <v>45703</v>
      </c>
      <c r="B62">
        <v>2</v>
      </c>
      <c r="C62">
        <v>2</v>
      </c>
      <c r="D62" t="s">
        <v>68</v>
      </c>
    </row>
    <row r="63" spans="1:4" x14ac:dyDescent="0.25">
      <c r="A63" s="1">
        <v>45793</v>
      </c>
      <c r="B63">
        <v>5</v>
      </c>
      <c r="C63">
        <v>5</v>
      </c>
      <c r="D63" t="s">
        <v>69</v>
      </c>
    </row>
    <row r="64" spans="1:4" x14ac:dyDescent="0.25">
      <c r="A64" s="1">
        <v>45688</v>
      </c>
      <c r="B64">
        <v>1</v>
      </c>
      <c r="C64">
        <v>1</v>
      </c>
      <c r="D64" t="s">
        <v>66</v>
      </c>
    </row>
    <row r="65" spans="1:4" x14ac:dyDescent="0.25">
      <c r="A65" s="1">
        <v>45837</v>
      </c>
      <c r="B65">
        <v>6</v>
      </c>
      <c r="C65">
        <v>6</v>
      </c>
      <c r="D65" t="s">
        <v>70</v>
      </c>
    </row>
    <row r="66" spans="1:4" x14ac:dyDescent="0.25">
      <c r="A66" s="1">
        <v>45675</v>
      </c>
      <c r="B66">
        <v>1</v>
      </c>
      <c r="C66">
        <v>1</v>
      </c>
      <c r="D66" t="s">
        <v>66</v>
      </c>
    </row>
    <row r="67" spans="1:4" x14ac:dyDescent="0.25">
      <c r="A67" s="1">
        <v>45711</v>
      </c>
      <c r="B67">
        <v>2</v>
      </c>
      <c r="C67">
        <v>2</v>
      </c>
      <c r="D67" t="s">
        <v>68</v>
      </c>
    </row>
    <row r="68" spans="1:4" x14ac:dyDescent="0.25">
      <c r="A68" s="1">
        <v>45756</v>
      </c>
      <c r="B68">
        <v>4</v>
      </c>
      <c r="C68">
        <v>4</v>
      </c>
      <c r="D68" t="s">
        <v>65</v>
      </c>
    </row>
    <row r="69" spans="1:4" x14ac:dyDescent="0.25">
      <c r="A69" s="1">
        <v>45804</v>
      </c>
      <c r="B69">
        <v>5</v>
      </c>
      <c r="C69">
        <v>5</v>
      </c>
      <c r="D69" t="s">
        <v>69</v>
      </c>
    </row>
    <row r="70" spans="1:4" x14ac:dyDescent="0.25">
      <c r="A70" s="1">
        <v>45802</v>
      </c>
      <c r="B70">
        <v>5</v>
      </c>
      <c r="C70">
        <v>5</v>
      </c>
      <c r="D70" t="s">
        <v>69</v>
      </c>
    </row>
    <row r="71" spans="1:4" x14ac:dyDescent="0.25">
      <c r="A71" s="1">
        <v>45680</v>
      </c>
      <c r="B71">
        <v>1</v>
      </c>
      <c r="C71">
        <v>1</v>
      </c>
      <c r="D71" t="s">
        <v>66</v>
      </c>
    </row>
    <row r="72" spans="1:4" x14ac:dyDescent="0.25">
      <c r="A72" s="1">
        <v>45828</v>
      </c>
      <c r="B72">
        <v>6</v>
      </c>
      <c r="C72">
        <v>6</v>
      </c>
      <c r="D72" t="s">
        <v>70</v>
      </c>
    </row>
    <row r="73" spans="1:4" x14ac:dyDescent="0.25">
      <c r="A73" s="1">
        <v>45784</v>
      </c>
      <c r="B73">
        <v>5</v>
      </c>
      <c r="C73">
        <v>5</v>
      </c>
      <c r="D73" t="s">
        <v>69</v>
      </c>
    </row>
    <row r="74" spans="1:4" x14ac:dyDescent="0.25">
      <c r="A74" s="1">
        <v>45795</v>
      </c>
      <c r="B74">
        <v>5</v>
      </c>
      <c r="C74">
        <v>5</v>
      </c>
      <c r="D74" t="s">
        <v>69</v>
      </c>
    </row>
    <row r="75" spans="1:4" x14ac:dyDescent="0.25">
      <c r="A75" s="1">
        <v>45751</v>
      </c>
      <c r="B75">
        <v>4</v>
      </c>
      <c r="C75">
        <v>4</v>
      </c>
      <c r="D75" t="s">
        <v>65</v>
      </c>
    </row>
    <row r="76" spans="1:4" x14ac:dyDescent="0.25">
      <c r="A76" s="1">
        <v>45730</v>
      </c>
      <c r="B76">
        <v>3</v>
      </c>
      <c r="C76">
        <v>3</v>
      </c>
      <c r="D76" t="s">
        <v>67</v>
      </c>
    </row>
    <row r="77" spans="1:4" x14ac:dyDescent="0.25">
      <c r="A77" s="1">
        <v>45669</v>
      </c>
      <c r="B77">
        <v>1</v>
      </c>
      <c r="C77">
        <v>1</v>
      </c>
      <c r="D77" t="s">
        <v>66</v>
      </c>
    </row>
    <row r="78" spans="1:4" x14ac:dyDescent="0.25">
      <c r="A78" s="1">
        <v>45706</v>
      </c>
      <c r="B78">
        <v>2</v>
      </c>
      <c r="C78">
        <v>2</v>
      </c>
      <c r="D78" t="s">
        <v>68</v>
      </c>
    </row>
    <row r="79" spans="1:4" x14ac:dyDescent="0.25">
      <c r="A79" s="1">
        <v>45708</v>
      </c>
      <c r="B79">
        <v>2</v>
      </c>
      <c r="C79">
        <v>2</v>
      </c>
      <c r="D79" t="s">
        <v>68</v>
      </c>
    </row>
    <row r="80" spans="1:4" x14ac:dyDescent="0.25">
      <c r="A80" s="1">
        <v>45818</v>
      </c>
      <c r="B80">
        <v>6</v>
      </c>
      <c r="C80">
        <v>6</v>
      </c>
      <c r="D80" t="s">
        <v>70</v>
      </c>
    </row>
    <row r="81" spans="1:4" x14ac:dyDescent="0.25">
      <c r="A81" s="1">
        <v>45782</v>
      </c>
      <c r="B81">
        <v>5</v>
      </c>
      <c r="C81">
        <v>5</v>
      </c>
      <c r="D81" t="s">
        <v>69</v>
      </c>
    </row>
    <row r="82" spans="1:4" x14ac:dyDescent="0.25">
      <c r="A82" s="1">
        <v>45770</v>
      </c>
      <c r="B82">
        <v>4</v>
      </c>
      <c r="C82">
        <v>4</v>
      </c>
      <c r="D82" t="s">
        <v>65</v>
      </c>
    </row>
    <row r="83" spans="1:4" x14ac:dyDescent="0.25">
      <c r="A83" s="1">
        <v>45834</v>
      </c>
      <c r="B83">
        <v>6</v>
      </c>
      <c r="C83">
        <v>6</v>
      </c>
      <c r="D83" t="s">
        <v>70</v>
      </c>
    </row>
    <row r="84" spans="1:4" x14ac:dyDescent="0.25">
      <c r="A84" s="1">
        <v>45749</v>
      </c>
      <c r="B84">
        <v>4</v>
      </c>
      <c r="C84">
        <v>4</v>
      </c>
      <c r="D84" t="s">
        <v>65</v>
      </c>
    </row>
    <row r="85" spans="1:4" x14ac:dyDescent="0.25">
      <c r="A85" s="1">
        <v>45786</v>
      </c>
      <c r="B85">
        <v>5</v>
      </c>
      <c r="C85">
        <v>5</v>
      </c>
      <c r="D85" t="s">
        <v>69</v>
      </c>
    </row>
    <row r="86" spans="1:4" x14ac:dyDescent="0.25">
      <c r="A86" s="1">
        <v>45683</v>
      </c>
      <c r="B86">
        <v>1</v>
      </c>
      <c r="C86">
        <v>1</v>
      </c>
      <c r="D86" t="s">
        <v>66</v>
      </c>
    </row>
    <row r="87" spans="1:4" x14ac:dyDescent="0.25">
      <c r="A87" s="1">
        <v>45699</v>
      </c>
      <c r="B87">
        <v>2</v>
      </c>
      <c r="C87">
        <v>2</v>
      </c>
      <c r="D87" t="s">
        <v>68</v>
      </c>
    </row>
    <row r="88" spans="1:4" x14ac:dyDescent="0.25">
      <c r="A88" s="1">
        <v>45681</v>
      </c>
      <c r="B88">
        <v>1</v>
      </c>
      <c r="C88">
        <v>1</v>
      </c>
      <c r="D88" t="s">
        <v>66</v>
      </c>
    </row>
    <row r="89" spans="1:4" x14ac:dyDescent="0.25">
      <c r="A89" s="1">
        <v>45665</v>
      </c>
      <c r="B89">
        <v>1</v>
      </c>
      <c r="C89">
        <v>1</v>
      </c>
      <c r="D89" t="s">
        <v>66</v>
      </c>
    </row>
    <row r="90" spans="1:4" x14ac:dyDescent="0.25">
      <c r="A90" s="1">
        <v>45766</v>
      </c>
      <c r="B90">
        <v>4</v>
      </c>
      <c r="C90">
        <v>4</v>
      </c>
      <c r="D90" t="s">
        <v>65</v>
      </c>
    </row>
    <row r="91" spans="1:4" x14ac:dyDescent="0.25">
      <c r="A91" s="1">
        <v>45682</v>
      </c>
      <c r="B91">
        <v>1</v>
      </c>
      <c r="C91">
        <v>1</v>
      </c>
      <c r="D91" t="s">
        <v>66</v>
      </c>
    </row>
    <row r="92" spans="1:4" x14ac:dyDescent="0.25">
      <c r="A92" s="1">
        <v>45753</v>
      </c>
      <c r="B92">
        <v>4</v>
      </c>
      <c r="C92">
        <v>4</v>
      </c>
      <c r="D92" t="s">
        <v>65</v>
      </c>
    </row>
    <row r="93" spans="1:4" x14ac:dyDescent="0.25">
      <c r="A93" s="1">
        <v>45679</v>
      </c>
      <c r="B93">
        <v>1</v>
      </c>
      <c r="C93">
        <v>1</v>
      </c>
      <c r="D93" t="s">
        <v>66</v>
      </c>
    </row>
    <row r="94" spans="1:4" x14ac:dyDescent="0.25">
      <c r="A94" s="1">
        <v>45765</v>
      </c>
      <c r="B94">
        <v>4</v>
      </c>
      <c r="C94">
        <v>4</v>
      </c>
      <c r="D94" t="s">
        <v>65</v>
      </c>
    </row>
    <row r="95" spans="1:4" x14ac:dyDescent="0.25">
      <c r="A95" s="1">
        <v>45780</v>
      </c>
      <c r="B95">
        <v>5</v>
      </c>
      <c r="C95">
        <v>5</v>
      </c>
      <c r="D95" t="s">
        <v>69</v>
      </c>
    </row>
    <row r="96" spans="1:4" x14ac:dyDescent="0.25">
      <c r="A96" s="1">
        <v>45754</v>
      </c>
      <c r="B96">
        <v>4</v>
      </c>
      <c r="C96">
        <v>4</v>
      </c>
      <c r="D96" t="s">
        <v>65</v>
      </c>
    </row>
    <row r="97" spans="1:4" x14ac:dyDescent="0.25">
      <c r="A97" s="1">
        <v>45808</v>
      </c>
      <c r="B97">
        <v>5</v>
      </c>
      <c r="C97">
        <v>5</v>
      </c>
      <c r="D97" t="s">
        <v>69</v>
      </c>
    </row>
    <row r="98" spans="1:4" x14ac:dyDescent="0.25">
      <c r="A98" s="1">
        <v>45673</v>
      </c>
      <c r="B98">
        <v>1</v>
      </c>
      <c r="C98">
        <v>1</v>
      </c>
      <c r="D98" t="s">
        <v>66</v>
      </c>
    </row>
    <row r="99" spans="1:4" x14ac:dyDescent="0.25">
      <c r="A99" s="1">
        <v>45686</v>
      </c>
      <c r="B99">
        <v>1</v>
      </c>
      <c r="C99">
        <v>1</v>
      </c>
      <c r="D99" t="s">
        <v>66</v>
      </c>
    </row>
    <row r="100" spans="1:4" x14ac:dyDescent="0.25">
      <c r="A100" s="1">
        <v>45831</v>
      </c>
      <c r="B100">
        <v>6</v>
      </c>
      <c r="C100">
        <v>6</v>
      </c>
      <c r="D100" t="s">
        <v>70</v>
      </c>
    </row>
    <row r="101" spans="1:4" x14ac:dyDescent="0.25">
      <c r="A101" s="1">
        <v>45738</v>
      </c>
      <c r="B101">
        <v>3</v>
      </c>
      <c r="C101">
        <v>3</v>
      </c>
      <c r="D101" t="s">
        <v>67</v>
      </c>
    </row>
    <row r="102" spans="1:4" x14ac:dyDescent="0.25">
      <c r="A102" s="1">
        <v>45705</v>
      </c>
      <c r="B102">
        <v>2</v>
      </c>
      <c r="C102">
        <v>2</v>
      </c>
      <c r="D102" t="s">
        <v>68</v>
      </c>
    </row>
    <row r="103" spans="1:4" x14ac:dyDescent="0.25">
      <c r="A103" s="1">
        <v>45742</v>
      </c>
      <c r="B103">
        <v>3</v>
      </c>
      <c r="C103">
        <v>3</v>
      </c>
      <c r="D103" t="s">
        <v>67</v>
      </c>
    </row>
    <row r="104" spans="1:4" x14ac:dyDescent="0.25">
      <c r="A104" s="1">
        <v>45726</v>
      </c>
      <c r="B104">
        <v>3</v>
      </c>
      <c r="C104">
        <v>3</v>
      </c>
      <c r="D104" t="s">
        <v>67</v>
      </c>
    </row>
    <row r="105" spans="1:4" x14ac:dyDescent="0.25">
      <c r="A105" s="1">
        <v>45715</v>
      </c>
      <c r="B105">
        <v>2</v>
      </c>
      <c r="C105">
        <v>2</v>
      </c>
      <c r="D105" t="s">
        <v>68</v>
      </c>
    </row>
    <row r="106" spans="1:4" x14ac:dyDescent="0.25">
      <c r="A106" s="1">
        <v>45736</v>
      </c>
      <c r="B106">
        <v>3</v>
      </c>
      <c r="C106">
        <v>3</v>
      </c>
      <c r="D106" t="s">
        <v>67</v>
      </c>
    </row>
    <row r="107" spans="1:4" x14ac:dyDescent="0.25">
      <c r="A107" s="1">
        <v>45835</v>
      </c>
      <c r="B107">
        <v>6</v>
      </c>
      <c r="C107">
        <v>6</v>
      </c>
      <c r="D107" t="s">
        <v>70</v>
      </c>
    </row>
    <row r="108" spans="1:4" x14ac:dyDescent="0.25">
      <c r="A108" s="1">
        <v>45775</v>
      </c>
      <c r="B108">
        <v>4</v>
      </c>
      <c r="C108">
        <v>4</v>
      </c>
      <c r="D108" t="s">
        <v>65</v>
      </c>
    </row>
    <row r="109" spans="1:4" x14ac:dyDescent="0.25">
      <c r="A109" s="1">
        <v>45698</v>
      </c>
      <c r="B109">
        <v>2</v>
      </c>
      <c r="C109">
        <v>2</v>
      </c>
      <c r="D109" t="s">
        <v>68</v>
      </c>
    </row>
    <row r="110" spans="1:4" x14ac:dyDescent="0.25">
      <c r="A110" s="1">
        <v>45773</v>
      </c>
      <c r="B110">
        <v>4</v>
      </c>
      <c r="C110">
        <v>4</v>
      </c>
      <c r="D110" t="s">
        <v>65</v>
      </c>
    </row>
    <row r="111" spans="1:4" x14ac:dyDescent="0.25">
      <c r="A111" s="1">
        <v>45755</v>
      </c>
      <c r="B111">
        <v>4</v>
      </c>
      <c r="C111">
        <v>4</v>
      </c>
      <c r="D111" t="s">
        <v>65</v>
      </c>
    </row>
    <row r="112" spans="1:4" x14ac:dyDescent="0.25">
      <c r="A112" s="1">
        <v>45815</v>
      </c>
      <c r="B112">
        <v>6</v>
      </c>
      <c r="C112">
        <v>6</v>
      </c>
      <c r="D112" t="s">
        <v>70</v>
      </c>
    </row>
    <row r="113" spans="1:4" x14ac:dyDescent="0.25">
      <c r="A113" s="1">
        <v>45707</v>
      </c>
      <c r="B113">
        <v>2</v>
      </c>
      <c r="C113">
        <v>2</v>
      </c>
      <c r="D113" t="s">
        <v>68</v>
      </c>
    </row>
    <row r="114" spans="1:4" x14ac:dyDescent="0.25">
      <c r="A114" s="1">
        <v>45801</v>
      </c>
      <c r="B114">
        <v>5</v>
      </c>
      <c r="C114">
        <v>5</v>
      </c>
      <c r="D114" t="s">
        <v>69</v>
      </c>
    </row>
    <row r="115" spans="1:4" x14ac:dyDescent="0.25">
      <c r="A115" s="1">
        <v>45811</v>
      </c>
      <c r="B115">
        <v>6</v>
      </c>
      <c r="C115">
        <v>6</v>
      </c>
      <c r="D115" t="s">
        <v>70</v>
      </c>
    </row>
    <row r="116" spans="1:4" x14ac:dyDescent="0.25">
      <c r="A116" s="1">
        <v>45668</v>
      </c>
      <c r="B116">
        <v>1</v>
      </c>
      <c r="C116">
        <v>1</v>
      </c>
      <c r="D116" t="s">
        <v>66</v>
      </c>
    </row>
    <row r="117" spans="1:4" x14ac:dyDescent="0.25">
      <c r="A117" s="1">
        <v>45676</v>
      </c>
      <c r="B117">
        <v>1</v>
      </c>
      <c r="C117">
        <v>1</v>
      </c>
      <c r="D117" t="s">
        <v>66</v>
      </c>
    </row>
    <row r="118" spans="1:4" x14ac:dyDescent="0.25">
      <c r="A118" s="1">
        <v>45787</v>
      </c>
      <c r="B118">
        <v>5</v>
      </c>
      <c r="C118">
        <v>5</v>
      </c>
      <c r="D118" t="s">
        <v>69</v>
      </c>
    </row>
    <row r="119" spans="1:4" x14ac:dyDescent="0.25">
      <c r="A119" s="1">
        <v>45816</v>
      </c>
      <c r="B119">
        <v>6</v>
      </c>
      <c r="C119">
        <v>6</v>
      </c>
      <c r="D119" t="s">
        <v>70</v>
      </c>
    </row>
    <row r="120" spans="1:4" x14ac:dyDescent="0.25">
      <c r="A120" s="1">
        <v>45685</v>
      </c>
      <c r="B120">
        <v>1</v>
      </c>
      <c r="C120">
        <v>1</v>
      </c>
      <c r="D120" t="s">
        <v>66</v>
      </c>
    </row>
    <row r="121" spans="1:4" x14ac:dyDescent="0.25">
      <c r="A121" s="1">
        <v>45760</v>
      </c>
      <c r="B121">
        <v>4</v>
      </c>
      <c r="C121">
        <v>4</v>
      </c>
      <c r="D121" t="s">
        <v>65</v>
      </c>
    </row>
    <row r="122" spans="1:4" x14ac:dyDescent="0.25">
      <c r="A122" s="1">
        <v>45778</v>
      </c>
      <c r="B122">
        <v>5</v>
      </c>
      <c r="C122">
        <v>5</v>
      </c>
      <c r="D122" t="s">
        <v>69</v>
      </c>
    </row>
    <row r="123" spans="1:4" x14ac:dyDescent="0.25">
      <c r="A123" s="1">
        <v>45792</v>
      </c>
      <c r="B123">
        <v>5</v>
      </c>
      <c r="C123">
        <v>5</v>
      </c>
      <c r="D123" t="s">
        <v>69</v>
      </c>
    </row>
    <row r="124" spans="1:4" x14ac:dyDescent="0.25">
      <c r="A124" s="1">
        <v>45723</v>
      </c>
      <c r="B124">
        <v>3</v>
      </c>
      <c r="C124">
        <v>3</v>
      </c>
      <c r="D124" t="s">
        <v>67</v>
      </c>
    </row>
    <row r="125" spans="1:4" x14ac:dyDescent="0.25">
      <c r="A125" s="1">
        <v>45805</v>
      </c>
      <c r="B125">
        <v>5</v>
      </c>
      <c r="C125">
        <v>5</v>
      </c>
      <c r="D125" t="s">
        <v>69</v>
      </c>
    </row>
    <row r="126" spans="1:4" x14ac:dyDescent="0.25">
      <c r="A126" s="1">
        <v>45743</v>
      </c>
      <c r="B126">
        <v>3</v>
      </c>
      <c r="C126">
        <v>3</v>
      </c>
      <c r="D126" t="s">
        <v>67</v>
      </c>
    </row>
    <row r="127" spans="1:4" x14ac:dyDescent="0.25">
      <c r="A127" s="1">
        <v>45671</v>
      </c>
      <c r="B127">
        <v>1</v>
      </c>
      <c r="C127">
        <v>1</v>
      </c>
      <c r="D127" t="s">
        <v>66</v>
      </c>
    </row>
    <row r="128" spans="1:4" x14ac:dyDescent="0.25">
      <c r="A128" s="1">
        <v>45752</v>
      </c>
      <c r="B128">
        <v>4</v>
      </c>
      <c r="C128">
        <v>4</v>
      </c>
      <c r="D128" t="s">
        <v>65</v>
      </c>
    </row>
    <row r="129" spans="1:4" x14ac:dyDescent="0.25">
      <c r="A129" s="1">
        <v>45720</v>
      </c>
      <c r="B129">
        <v>3</v>
      </c>
      <c r="C129">
        <v>3</v>
      </c>
      <c r="D129" t="s">
        <v>67</v>
      </c>
    </row>
    <row r="130" spans="1:4" x14ac:dyDescent="0.25">
      <c r="A130" s="1">
        <v>45774</v>
      </c>
      <c r="B130">
        <v>4</v>
      </c>
      <c r="C130">
        <v>4</v>
      </c>
      <c r="D130" t="s">
        <v>65</v>
      </c>
    </row>
    <row r="131" spans="1:4" x14ac:dyDescent="0.25">
      <c r="A131" s="1">
        <v>45689</v>
      </c>
      <c r="B131">
        <v>2</v>
      </c>
      <c r="C131">
        <v>2</v>
      </c>
      <c r="D131" t="s">
        <v>68</v>
      </c>
    </row>
    <row r="132" spans="1:4" x14ac:dyDescent="0.25">
      <c r="A132" s="1">
        <v>45690</v>
      </c>
      <c r="B132">
        <v>2</v>
      </c>
      <c r="C132">
        <v>2</v>
      </c>
      <c r="D132" t="s">
        <v>68</v>
      </c>
    </row>
    <row r="133" spans="1:4" x14ac:dyDescent="0.25">
      <c r="A133" s="1">
        <v>45825</v>
      </c>
      <c r="B133">
        <v>6</v>
      </c>
      <c r="C133">
        <v>6</v>
      </c>
      <c r="D133" t="s">
        <v>70</v>
      </c>
    </row>
    <row r="134" spans="1:4" x14ac:dyDescent="0.25">
      <c r="A134" s="1">
        <v>45822</v>
      </c>
      <c r="B134">
        <v>6</v>
      </c>
      <c r="C134">
        <v>6</v>
      </c>
      <c r="D134" t="s">
        <v>70</v>
      </c>
    </row>
    <row r="135" spans="1:4" x14ac:dyDescent="0.25">
      <c r="A135" s="1">
        <v>45819</v>
      </c>
      <c r="B135">
        <v>6</v>
      </c>
      <c r="C135">
        <v>6</v>
      </c>
      <c r="D135" t="s">
        <v>70</v>
      </c>
    </row>
    <row r="136" spans="1:4" x14ac:dyDescent="0.25">
      <c r="A136" s="1">
        <v>45763</v>
      </c>
      <c r="B136">
        <v>4</v>
      </c>
      <c r="C136">
        <v>4</v>
      </c>
      <c r="D136" t="s">
        <v>65</v>
      </c>
    </row>
    <row r="137" spans="1:4" x14ac:dyDescent="0.25">
      <c r="A137" s="1">
        <v>45809</v>
      </c>
      <c r="B137">
        <v>6</v>
      </c>
      <c r="C137">
        <v>6</v>
      </c>
      <c r="D137" t="s">
        <v>70</v>
      </c>
    </row>
    <row r="138" spans="1:4" x14ac:dyDescent="0.25">
      <c r="A138" s="1">
        <v>45739</v>
      </c>
      <c r="B138">
        <v>3</v>
      </c>
      <c r="C138">
        <v>3</v>
      </c>
      <c r="D138" t="s">
        <v>67</v>
      </c>
    </row>
    <row r="139" spans="1:4" x14ac:dyDescent="0.25">
      <c r="A139" s="1">
        <v>45737</v>
      </c>
      <c r="B139">
        <v>3</v>
      </c>
      <c r="C139">
        <v>3</v>
      </c>
      <c r="D139" t="s">
        <v>67</v>
      </c>
    </row>
    <row r="140" spans="1:4" x14ac:dyDescent="0.25">
      <c r="A140" s="1">
        <v>45659</v>
      </c>
      <c r="B140">
        <v>1</v>
      </c>
      <c r="C140">
        <v>1</v>
      </c>
      <c r="D140" t="s">
        <v>66</v>
      </c>
    </row>
    <row r="141" spans="1:4" x14ac:dyDescent="0.25">
      <c r="A141" s="1">
        <v>45677</v>
      </c>
      <c r="B141">
        <v>1</v>
      </c>
      <c r="C141">
        <v>1</v>
      </c>
      <c r="D141" t="s">
        <v>66</v>
      </c>
    </row>
    <row r="142" spans="1:4" x14ac:dyDescent="0.25">
      <c r="A142" s="1">
        <v>45695</v>
      </c>
      <c r="B142">
        <v>2</v>
      </c>
      <c r="C142">
        <v>2</v>
      </c>
      <c r="D142" t="s">
        <v>68</v>
      </c>
    </row>
    <row r="143" spans="1:4" x14ac:dyDescent="0.25">
      <c r="A143" s="1">
        <v>45768</v>
      </c>
      <c r="B143">
        <v>4</v>
      </c>
      <c r="C143">
        <v>4</v>
      </c>
      <c r="D143" t="s">
        <v>65</v>
      </c>
    </row>
    <row r="144" spans="1:4" x14ac:dyDescent="0.25">
      <c r="A144" s="1">
        <v>45666</v>
      </c>
      <c r="B144">
        <v>1</v>
      </c>
      <c r="C144">
        <v>1</v>
      </c>
      <c r="D144" t="s">
        <v>66</v>
      </c>
    </row>
    <row r="145" spans="1:4" x14ac:dyDescent="0.25">
      <c r="A145" s="1">
        <v>45741</v>
      </c>
      <c r="B145">
        <v>3</v>
      </c>
      <c r="C145">
        <v>3</v>
      </c>
      <c r="D145" t="s">
        <v>67</v>
      </c>
    </row>
    <row r="146" spans="1:4" x14ac:dyDescent="0.25">
      <c r="A146" s="1">
        <v>45769</v>
      </c>
      <c r="B146">
        <v>4</v>
      </c>
      <c r="C146">
        <v>4</v>
      </c>
      <c r="D146" t="s">
        <v>65</v>
      </c>
    </row>
    <row r="147" spans="1:4" x14ac:dyDescent="0.25">
      <c r="A147" s="1">
        <v>45832</v>
      </c>
      <c r="B147">
        <v>6</v>
      </c>
      <c r="C147">
        <v>6</v>
      </c>
      <c r="D147" t="s">
        <v>70</v>
      </c>
    </row>
    <row r="148" spans="1:4" x14ac:dyDescent="0.25">
      <c r="A148" s="1">
        <v>45777</v>
      </c>
      <c r="B148">
        <v>4</v>
      </c>
      <c r="C148">
        <v>4</v>
      </c>
      <c r="D148" t="s">
        <v>65</v>
      </c>
    </row>
    <row r="149" spans="1:4" x14ac:dyDescent="0.25">
      <c r="A149" s="1">
        <v>45750</v>
      </c>
      <c r="B149">
        <v>4</v>
      </c>
      <c r="C149">
        <v>4</v>
      </c>
      <c r="D149" t="s">
        <v>65</v>
      </c>
    </row>
    <row r="150" spans="1:4" x14ac:dyDescent="0.25">
      <c r="A150" s="1">
        <v>45728</v>
      </c>
      <c r="B150">
        <v>3</v>
      </c>
      <c r="C150">
        <v>3</v>
      </c>
      <c r="D150" t="s">
        <v>67</v>
      </c>
    </row>
    <row r="151" spans="1:4" x14ac:dyDescent="0.25">
      <c r="A151" s="1">
        <v>45830</v>
      </c>
      <c r="B151">
        <v>6</v>
      </c>
      <c r="C151">
        <v>6</v>
      </c>
      <c r="D151" t="s">
        <v>70</v>
      </c>
    </row>
    <row r="152" spans="1:4" x14ac:dyDescent="0.25">
      <c r="A152" s="1">
        <v>45772</v>
      </c>
      <c r="B152">
        <v>4</v>
      </c>
      <c r="C152">
        <v>4</v>
      </c>
      <c r="D152" t="s">
        <v>65</v>
      </c>
    </row>
    <row r="153" spans="1:4" x14ac:dyDescent="0.25">
      <c r="A153" s="1">
        <v>45759</v>
      </c>
      <c r="B153">
        <v>4</v>
      </c>
      <c r="C153">
        <v>4</v>
      </c>
      <c r="D153" t="s">
        <v>65</v>
      </c>
    </row>
    <row r="154" spans="1:4" x14ac:dyDescent="0.25">
      <c r="A154" s="1">
        <v>45687</v>
      </c>
      <c r="B154">
        <v>1</v>
      </c>
      <c r="C154">
        <v>1</v>
      </c>
      <c r="D154" t="s">
        <v>66</v>
      </c>
    </row>
    <row r="155" spans="1:4" x14ac:dyDescent="0.25">
      <c r="A155" s="1">
        <v>45785</v>
      </c>
      <c r="B155">
        <v>5</v>
      </c>
      <c r="C155">
        <v>5</v>
      </c>
      <c r="D155" t="s">
        <v>69</v>
      </c>
    </row>
    <row r="156" spans="1:4" x14ac:dyDescent="0.25">
      <c r="A156" s="1">
        <v>45693</v>
      </c>
      <c r="B156">
        <v>2</v>
      </c>
      <c r="C156">
        <v>2</v>
      </c>
      <c r="D156" t="s">
        <v>68</v>
      </c>
    </row>
    <row r="157" spans="1:4" x14ac:dyDescent="0.25">
      <c r="A157" s="1">
        <v>45798</v>
      </c>
      <c r="B157">
        <v>5</v>
      </c>
      <c r="C157">
        <v>5</v>
      </c>
      <c r="D157" t="s">
        <v>69</v>
      </c>
    </row>
    <row r="158" spans="1:4" x14ac:dyDescent="0.25">
      <c r="A158" s="1">
        <v>45781</v>
      </c>
      <c r="B158">
        <v>5</v>
      </c>
      <c r="C158">
        <v>5</v>
      </c>
      <c r="D158" t="s">
        <v>69</v>
      </c>
    </row>
    <row r="159" spans="1:4" x14ac:dyDescent="0.25">
      <c r="A159" s="1">
        <v>45727</v>
      </c>
      <c r="B159">
        <v>3</v>
      </c>
      <c r="C159">
        <v>3</v>
      </c>
      <c r="D159" t="s">
        <v>67</v>
      </c>
    </row>
    <row r="160" spans="1:4" x14ac:dyDescent="0.25">
      <c r="A160" s="1">
        <v>45757</v>
      </c>
      <c r="B160">
        <v>4</v>
      </c>
      <c r="C160">
        <v>4</v>
      </c>
      <c r="D160" t="s">
        <v>65</v>
      </c>
    </row>
    <row r="161" spans="1:4" x14ac:dyDescent="0.25">
      <c r="A161" s="1">
        <v>45713</v>
      </c>
      <c r="B161">
        <v>2</v>
      </c>
      <c r="C161">
        <v>2</v>
      </c>
      <c r="D161" t="s">
        <v>68</v>
      </c>
    </row>
    <row r="162" spans="1:4" x14ac:dyDescent="0.25">
      <c r="A162" s="1">
        <v>45771</v>
      </c>
      <c r="B162">
        <v>4</v>
      </c>
      <c r="C162">
        <v>4</v>
      </c>
      <c r="D162" t="s">
        <v>65</v>
      </c>
    </row>
    <row r="163" spans="1:4" x14ac:dyDescent="0.25">
      <c r="A163" s="1">
        <v>45662</v>
      </c>
      <c r="B163">
        <v>1</v>
      </c>
      <c r="C163">
        <v>1</v>
      </c>
      <c r="D163" t="s">
        <v>66</v>
      </c>
    </row>
    <row r="164" spans="1:4" x14ac:dyDescent="0.25">
      <c r="A164" s="1">
        <v>45710</v>
      </c>
      <c r="B164">
        <v>2</v>
      </c>
      <c r="C164">
        <v>2</v>
      </c>
      <c r="D164" t="s">
        <v>68</v>
      </c>
    </row>
    <row r="165" spans="1:4" x14ac:dyDescent="0.25">
      <c r="A165" s="1">
        <v>45712</v>
      </c>
      <c r="B165">
        <v>2</v>
      </c>
      <c r="C165">
        <v>2</v>
      </c>
      <c r="D165" t="s">
        <v>68</v>
      </c>
    </row>
    <row r="166" spans="1:4" x14ac:dyDescent="0.25">
      <c r="A166" s="1">
        <v>45800</v>
      </c>
      <c r="B166">
        <v>5</v>
      </c>
      <c r="C166">
        <v>5</v>
      </c>
      <c r="D166" t="s">
        <v>69</v>
      </c>
    </row>
    <row r="167" spans="1:4" x14ac:dyDescent="0.25">
      <c r="A167" s="1">
        <v>45813</v>
      </c>
      <c r="B167">
        <v>6</v>
      </c>
      <c r="C167">
        <v>6</v>
      </c>
      <c r="D167" t="s">
        <v>70</v>
      </c>
    </row>
    <row r="168" spans="1:4" x14ac:dyDescent="0.25">
      <c r="A168" s="1">
        <v>45779</v>
      </c>
      <c r="B168">
        <v>5</v>
      </c>
      <c r="C168">
        <v>5</v>
      </c>
      <c r="D168" t="s">
        <v>69</v>
      </c>
    </row>
    <row r="169" spans="1:4" x14ac:dyDescent="0.25">
      <c r="A169" s="1">
        <v>45733</v>
      </c>
      <c r="B169">
        <v>3</v>
      </c>
      <c r="C169">
        <v>3</v>
      </c>
      <c r="D169" t="s">
        <v>67</v>
      </c>
    </row>
    <row r="170" spans="1:4" x14ac:dyDescent="0.25">
      <c r="A170" s="1">
        <v>45735</v>
      </c>
      <c r="B170">
        <v>3</v>
      </c>
      <c r="C170">
        <v>3</v>
      </c>
      <c r="D170" t="s">
        <v>67</v>
      </c>
    </row>
    <row r="171" spans="1:4" x14ac:dyDescent="0.25">
      <c r="A171" s="1">
        <v>45716</v>
      </c>
      <c r="B171">
        <v>2</v>
      </c>
      <c r="C171">
        <v>2</v>
      </c>
      <c r="D171" t="s">
        <v>68</v>
      </c>
    </row>
    <row r="172" spans="1:4" x14ac:dyDescent="0.25">
      <c r="A172" s="1">
        <v>45697</v>
      </c>
      <c r="B172">
        <v>2</v>
      </c>
      <c r="C172">
        <v>2</v>
      </c>
      <c r="D172" t="s">
        <v>68</v>
      </c>
    </row>
    <row r="173" spans="1:4" x14ac:dyDescent="0.25">
      <c r="A173" s="1">
        <v>45761</v>
      </c>
      <c r="B173">
        <v>4</v>
      </c>
      <c r="C173">
        <v>4</v>
      </c>
      <c r="D173" t="s">
        <v>65</v>
      </c>
    </row>
    <row r="174" spans="1:4" x14ac:dyDescent="0.25">
      <c r="A174" s="1">
        <v>45788</v>
      </c>
      <c r="B174">
        <v>5</v>
      </c>
      <c r="C174">
        <v>5</v>
      </c>
      <c r="D174" t="s">
        <v>69</v>
      </c>
    </row>
    <row r="175" spans="1:4" x14ac:dyDescent="0.25">
      <c r="A175" s="1">
        <v>45823</v>
      </c>
      <c r="B175">
        <v>6</v>
      </c>
      <c r="C175">
        <v>6</v>
      </c>
      <c r="D175" t="s">
        <v>70</v>
      </c>
    </row>
    <row r="176" spans="1:4" x14ac:dyDescent="0.25">
      <c r="A176" s="1">
        <v>45740</v>
      </c>
      <c r="B176">
        <v>3</v>
      </c>
      <c r="C176">
        <v>3</v>
      </c>
      <c r="D176" t="s">
        <v>67</v>
      </c>
    </row>
    <row r="177" spans="1:4" x14ac:dyDescent="0.25">
      <c r="A177" s="1">
        <v>45803</v>
      </c>
      <c r="B177">
        <v>5</v>
      </c>
      <c r="C177">
        <v>5</v>
      </c>
      <c r="D177" t="s">
        <v>69</v>
      </c>
    </row>
    <row r="178" spans="1:4" x14ac:dyDescent="0.25">
      <c r="A178" s="1">
        <v>45692</v>
      </c>
      <c r="B178">
        <v>2</v>
      </c>
      <c r="C178">
        <v>2</v>
      </c>
      <c r="D178" t="s">
        <v>68</v>
      </c>
    </row>
    <row r="179" spans="1:4" x14ac:dyDescent="0.25">
      <c r="A179" s="1">
        <v>45732</v>
      </c>
      <c r="B179">
        <v>3</v>
      </c>
      <c r="C179">
        <v>3</v>
      </c>
      <c r="D179" t="s">
        <v>67</v>
      </c>
    </row>
    <row r="180" spans="1:4" x14ac:dyDescent="0.25">
      <c r="A180" s="1">
        <v>45796</v>
      </c>
      <c r="B180">
        <v>5</v>
      </c>
      <c r="C180">
        <v>5</v>
      </c>
      <c r="D180" t="s">
        <v>69</v>
      </c>
    </row>
    <row r="181" spans="1:4" x14ac:dyDescent="0.25">
      <c r="A181" s="1">
        <v>45799</v>
      </c>
      <c r="B181">
        <v>5</v>
      </c>
      <c r="C181">
        <v>5</v>
      </c>
      <c r="D181" t="s">
        <v>69</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4136F-92D0-454B-841E-B1F14F5F8C35}">
  <dimension ref="A1:B26"/>
  <sheetViews>
    <sheetView workbookViewId="0">
      <selection sqref="A1:B27"/>
    </sheetView>
  </sheetViews>
  <sheetFormatPr defaultRowHeight="15" x14ac:dyDescent="0.25"/>
  <cols>
    <col min="1" max="1" width="11.85546875" bestFit="1" customWidth="1"/>
    <col min="2" max="2" width="7.7109375" bestFit="1" customWidth="1"/>
    <col min="3" max="3" width="11.85546875" bestFit="1" customWidth="1"/>
    <col min="4" max="4" width="11.140625" bestFit="1" customWidth="1"/>
  </cols>
  <sheetData>
    <row r="1" spans="1:2" x14ac:dyDescent="0.25">
      <c r="A1" t="s">
        <v>3</v>
      </c>
      <c r="B1" t="s">
        <v>32</v>
      </c>
    </row>
    <row r="2" spans="1:2" x14ac:dyDescent="0.25">
      <c r="A2" s="2" t="s">
        <v>7</v>
      </c>
      <c r="B2" s="2" t="s">
        <v>33</v>
      </c>
    </row>
    <row r="3" spans="1:2" x14ac:dyDescent="0.25">
      <c r="A3" s="2" t="s">
        <v>27</v>
      </c>
      <c r="B3" s="2" t="s">
        <v>34</v>
      </c>
    </row>
    <row r="4" spans="1:2" x14ac:dyDescent="0.25">
      <c r="A4" s="2" t="s">
        <v>15</v>
      </c>
      <c r="B4" s="2" t="s">
        <v>35</v>
      </c>
    </row>
    <row r="5" spans="1:2" x14ac:dyDescent="0.25">
      <c r="A5" s="2" t="s">
        <v>11</v>
      </c>
      <c r="B5" s="2" t="s">
        <v>35</v>
      </c>
    </row>
    <row r="6" spans="1:2" x14ac:dyDescent="0.25">
      <c r="A6" s="2" t="s">
        <v>25</v>
      </c>
      <c r="B6" s="2" t="s">
        <v>35</v>
      </c>
    </row>
    <row r="7" spans="1:2" x14ac:dyDescent="0.25">
      <c r="A7" s="2" t="s">
        <v>24</v>
      </c>
      <c r="B7" s="2" t="s">
        <v>35</v>
      </c>
    </row>
    <row r="8" spans="1:2" x14ac:dyDescent="0.25">
      <c r="A8" s="2" t="s">
        <v>6</v>
      </c>
      <c r="B8" s="2" t="s">
        <v>33</v>
      </c>
    </row>
    <row r="9" spans="1:2" x14ac:dyDescent="0.25">
      <c r="A9" s="2" t="s">
        <v>30</v>
      </c>
      <c r="B9" s="2" t="s">
        <v>35</v>
      </c>
    </row>
    <row r="10" spans="1:2" x14ac:dyDescent="0.25">
      <c r="A10" s="2" t="s">
        <v>26</v>
      </c>
      <c r="B10" s="2" t="s">
        <v>36</v>
      </c>
    </row>
    <row r="11" spans="1:2" x14ac:dyDescent="0.25">
      <c r="A11" s="2" t="s">
        <v>17</v>
      </c>
      <c r="B11" s="2" t="s">
        <v>33</v>
      </c>
    </row>
    <row r="12" spans="1:2" x14ac:dyDescent="0.25">
      <c r="A12" s="2" t="s">
        <v>20</v>
      </c>
      <c r="B12" s="2" t="s">
        <v>35</v>
      </c>
    </row>
    <row r="13" spans="1:2" x14ac:dyDescent="0.25">
      <c r="A13" s="2" t="s">
        <v>21</v>
      </c>
      <c r="B13" s="2" t="s">
        <v>37</v>
      </c>
    </row>
    <row r="14" spans="1:2" x14ac:dyDescent="0.25">
      <c r="A14" s="2" t="s">
        <v>19</v>
      </c>
      <c r="B14" s="2" t="s">
        <v>33</v>
      </c>
    </row>
    <row r="15" spans="1:2" x14ac:dyDescent="0.25">
      <c r="A15" s="2" t="s">
        <v>13</v>
      </c>
      <c r="B15" s="2" t="s">
        <v>33</v>
      </c>
    </row>
    <row r="16" spans="1:2" x14ac:dyDescent="0.25">
      <c r="A16" s="2" t="s">
        <v>14</v>
      </c>
      <c r="B16" s="2" t="s">
        <v>35</v>
      </c>
    </row>
    <row r="17" spans="1:2" x14ac:dyDescent="0.25">
      <c r="A17" s="2" t="s">
        <v>18</v>
      </c>
      <c r="B17" s="2" t="s">
        <v>33</v>
      </c>
    </row>
    <row r="18" spans="1:2" x14ac:dyDescent="0.25">
      <c r="A18" s="2" t="s">
        <v>29</v>
      </c>
      <c r="B18" s="2" t="s">
        <v>34</v>
      </c>
    </row>
    <row r="19" spans="1:2" x14ac:dyDescent="0.25">
      <c r="A19" s="2" t="s">
        <v>9</v>
      </c>
      <c r="B19" s="2" t="s">
        <v>35</v>
      </c>
    </row>
    <row r="20" spans="1:2" x14ac:dyDescent="0.25">
      <c r="A20" s="2" t="s">
        <v>8</v>
      </c>
      <c r="B20" s="2" t="s">
        <v>35</v>
      </c>
    </row>
    <row r="21" spans="1:2" x14ac:dyDescent="0.25">
      <c r="A21" s="2" t="s">
        <v>16</v>
      </c>
      <c r="B21" s="2" t="s">
        <v>35</v>
      </c>
    </row>
    <row r="22" spans="1:2" x14ac:dyDescent="0.25">
      <c r="A22" s="2" t="s">
        <v>22</v>
      </c>
      <c r="B22" s="2" t="s">
        <v>33</v>
      </c>
    </row>
    <row r="23" spans="1:2" x14ac:dyDescent="0.25">
      <c r="A23" s="2" t="s">
        <v>23</v>
      </c>
      <c r="B23" s="2" t="s">
        <v>33</v>
      </c>
    </row>
    <row r="24" spans="1:2" x14ac:dyDescent="0.25">
      <c r="A24" s="2" t="s">
        <v>12</v>
      </c>
      <c r="B24" s="2" t="s">
        <v>37</v>
      </c>
    </row>
    <row r="25" spans="1:2" x14ac:dyDescent="0.25">
      <c r="A25" s="2" t="s">
        <v>28</v>
      </c>
      <c r="B25" s="2" t="s">
        <v>34</v>
      </c>
    </row>
    <row r="26" spans="1:2" x14ac:dyDescent="0.25">
      <c r="A26" s="2" t="s">
        <v>10</v>
      </c>
      <c r="B26" s="2" t="s">
        <v>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workbookViewId="0">
      <selection activeCell="K28" sqref="K28"/>
    </sheetView>
  </sheetViews>
  <sheetFormatPr defaultRowHeight="15" x14ac:dyDescent="0.25"/>
  <cols>
    <col min="2" max="2" width="22.140625" bestFit="1" customWidth="1"/>
    <col min="3" max="3" width="18.140625" bestFit="1" customWidth="1"/>
    <col min="4" max="4" width="13.140625" bestFit="1" customWidth="1"/>
    <col min="5" max="5" width="18.5703125" bestFit="1" customWidth="1"/>
    <col min="7" max="7" width="13.140625" bestFit="1" customWidth="1"/>
    <col min="8" max="8" width="18.140625" bestFit="1" customWidth="1"/>
    <col min="9" max="9" width="19.140625" bestFit="1" customWidth="1"/>
    <col min="10" max="10" width="13.140625" bestFit="1" customWidth="1"/>
    <col min="11" max="18" width="22.7109375" bestFit="1" customWidth="1"/>
    <col min="19" max="19" width="27.7109375" bestFit="1" customWidth="1"/>
    <col min="20" max="21" width="23.140625" bestFit="1" customWidth="1"/>
  </cols>
  <sheetData>
    <row r="1" spans="1:10" x14ac:dyDescent="0.25">
      <c r="A1" t="s">
        <v>0</v>
      </c>
    </row>
    <row r="3" spans="1:10" x14ac:dyDescent="0.25">
      <c r="B3" s="3" t="s">
        <v>38</v>
      </c>
      <c r="C3" t="s">
        <v>41</v>
      </c>
    </row>
    <row r="4" spans="1:10" x14ac:dyDescent="0.25">
      <c r="B4" s="4" t="s">
        <v>24</v>
      </c>
      <c r="C4" s="2">
        <v>441774.30999999988</v>
      </c>
    </row>
    <row r="5" spans="1:10" x14ac:dyDescent="0.25">
      <c r="B5" s="4" t="s">
        <v>14</v>
      </c>
      <c r="C5" s="2">
        <v>405852.64999999973</v>
      </c>
    </row>
    <row r="6" spans="1:10" x14ac:dyDescent="0.25">
      <c r="B6" s="4" t="s">
        <v>15</v>
      </c>
      <c r="C6" s="2">
        <v>399687.58000000007</v>
      </c>
    </row>
    <row r="7" spans="1:10" x14ac:dyDescent="0.25">
      <c r="B7" s="4" t="s">
        <v>27</v>
      </c>
      <c r="C7" s="2">
        <v>374044.69000000006</v>
      </c>
    </row>
    <row r="8" spans="1:10" x14ac:dyDescent="0.25">
      <c r="B8" s="4" t="s">
        <v>30</v>
      </c>
      <c r="C8" s="2">
        <v>365234.27999999997</v>
      </c>
    </row>
    <row r="9" spans="1:10" x14ac:dyDescent="0.25">
      <c r="B9" s="4" t="s">
        <v>11</v>
      </c>
      <c r="C9" s="2">
        <v>359888.20000000013</v>
      </c>
    </row>
    <row r="10" spans="1:10" x14ac:dyDescent="0.25">
      <c r="B10" s="4" t="s">
        <v>22</v>
      </c>
      <c r="C10" s="2">
        <v>354416.16000000003</v>
      </c>
    </row>
    <row r="11" spans="1:10" x14ac:dyDescent="0.25">
      <c r="B11" s="4" t="s">
        <v>39</v>
      </c>
      <c r="C11" s="2">
        <v>2700897.8700000006</v>
      </c>
    </row>
    <row r="14" spans="1:10" x14ac:dyDescent="0.25">
      <c r="B14" t="s">
        <v>41</v>
      </c>
      <c r="D14" s="3" t="s">
        <v>38</v>
      </c>
      <c r="E14" t="s">
        <v>41</v>
      </c>
    </row>
    <row r="15" spans="1:10" x14ac:dyDescent="0.25">
      <c r="B15" s="2">
        <v>8034599.9800000032</v>
      </c>
      <c r="D15" s="4" t="s">
        <v>51</v>
      </c>
      <c r="E15" s="2">
        <v>1529978.62</v>
      </c>
      <c r="G15" s="3" t="s">
        <v>38</v>
      </c>
      <c r="H15" t="s">
        <v>41</v>
      </c>
    </row>
    <row r="16" spans="1:10" x14ac:dyDescent="0.25">
      <c r="D16" s="4" t="s">
        <v>52</v>
      </c>
      <c r="E16" s="2">
        <v>1220592.3200000005</v>
      </c>
      <c r="G16" s="4" t="s">
        <v>36</v>
      </c>
      <c r="H16" s="9">
        <v>4.193880850804968E-2</v>
      </c>
      <c r="J16" t="s">
        <v>72</v>
      </c>
    </row>
    <row r="17" spans="2:11" x14ac:dyDescent="0.25">
      <c r="D17" s="4" t="s">
        <v>53</v>
      </c>
      <c r="E17" s="2">
        <v>1372888.0399999991</v>
      </c>
      <c r="G17" s="4" t="s">
        <v>37</v>
      </c>
      <c r="H17" s="9">
        <v>8.0760636698181912E-2</v>
      </c>
      <c r="J17" s="2">
        <v>25</v>
      </c>
    </row>
    <row r="18" spans="2:11" x14ac:dyDescent="0.25">
      <c r="B18" t="s">
        <v>44</v>
      </c>
      <c r="D18" s="4" t="s">
        <v>54</v>
      </c>
      <c r="E18" s="2">
        <v>1186554.7800000003</v>
      </c>
      <c r="G18" s="4" t="s">
        <v>34</v>
      </c>
      <c r="H18" s="9">
        <v>0.10852357829518225</v>
      </c>
    </row>
    <row r="19" spans="2:11" x14ac:dyDescent="0.25">
      <c r="B19" s="2">
        <v>133040</v>
      </c>
      <c r="D19" s="4" t="s">
        <v>55</v>
      </c>
      <c r="E19" s="2">
        <v>1408672.6399999997</v>
      </c>
      <c r="G19" s="4" t="s">
        <v>33</v>
      </c>
      <c r="H19" s="9">
        <v>0.34070887621215451</v>
      </c>
    </row>
    <row r="20" spans="2:11" x14ac:dyDescent="0.25">
      <c r="D20" s="4" t="s">
        <v>56</v>
      </c>
      <c r="E20" s="2">
        <v>1315913.5799999996</v>
      </c>
      <c r="G20" s="4" t="s">
        <v>35</v>
      </c>
      <c r="H20" s="9">
        <v>0.42806810028643116</v>
      </c>
    </row>
    <row r="21" spans="2:11" x14ac:dyDescent="0.25">
      <c r="B21" t="s">
        <v>46</v>
      </c>
      <c r="D21" s="4" t="s">
        <v>39</v>
      </c>
      <c r="E21" s="2">
        <v>8034599.9800000032</v>
      </c>
      <c r="G21" s="4" t="s">
        <v>39</v>
      </c>
      <c r="H21" s="9">
        <v>1</v>
      </c>
    </row>
    <row r="22" spans="2:11" x14ac:dyDescent="0.25">
      <c r="B22" s="2">
        <v>6695.4999833333359</v>
      </c>
    </row>
    <row r="24" spans="2:11" x14ac:dyDescent="0.25">
      <c r="B24" t="s">
        <v>48</v>
      </c>
      <c r="D24" s="3" t="s">
        <v>38</v>
      </c>
      <c r="E24" t="s">
        <v>44</v>
      </c>
      <c r="G24" s="3" t="s">
        <v>38</v>
      </c>
      <c r="H24" t="s">
        <v>44</v>
      </c>
    </row>
    <row r="25" spans="2:11" x14ac:dyDescent="0.25">
      <c r="B25" s="2">
        <v>110.86666666666666</v>
      </c>
      <c r="D25" s="4" t="s">
        <v>24</v>
      </c>
      <c r="E25" s="2">
        <v>7526</v>
      </c>
      <c r="G25" s="4" t="s">
        <v>8</v>
      </c>
      <c r="H25" s="2">
        <v>4850</v>
      </c>
      <c r="J25" s="3" t="s">
        <v>38</v>
      </c>
      <c r="K25" t="s">
        <v>73</v>
      </c>
    </row>
    <row r="26" spans="2:11" x14ac:dyDescent="0.25">
      <c r="D26" s="4" t="s">
        <v>15</v>
      </c>
      <c r="E26" s="2">
        <v>6835</v>
      </c>
      <c r="G26" s="4" t="s">
        <v>17</v>
      </c>
      <c r="H26" s="2">
        <v>4793</v>
      </c>
      <c r="J26" s="4" t="s">
        <v>51</v>
      </c>
      <c r="K26" s="2">
        <v>64.991990740740746</v>
      </c>
    </row>
    <row r="27" spans="2:11" x14ac:dyDescent="0.25">
      <c r="D27" s="4" t="s">
        <v>14</v>
      </c>
      <c r="E27" s="2">
        <v>6794</v>
      </c>
      <c r="G27" s="4" t="s">
        <v>10</v>
      </c>
      <c r="H27" s="2">
        <v>4591</v>
      </c>
      <c r="J27" s="4" t="s">
        <v>52</v>
      </c>
      <c r="K27" s="2">
        <v>60.379631578947361</v>
      </c>
    </row>
    <row r="28" spans="2:11" x14ac:dyDescent="0.25">
      <c r="D28" s="4" t="s">
        <v>27</v>
      </c>
      <c r="E28" s="2">
        <v>6455</v>
      </c>
      <c r="G28" s="4" t="s">
        <v>16</v>
      </c>
      <c r="H28" s="2">
        <v>4112</v>
      </c>
      <c r="J28" s="4" t="s">
        <v>53</v>
      </c>
      <c r="K28" s="2">
        <v>59.832523364485979</v>
      </c>
    </row>
    <row r="29" spans="2:11" x14ac:dyDescent="0.25">
      <c r="D29" s="4" t="s">
        <v>22</v>
      </c>
      <c r="E29" s="2">
        <v>6199</v>
      </c>
      <c r="G29" s="4" t="s">
        <v>19</v>
      </c>
      <c r="H29" s="2">
        <v>4018</v>
      </c>
      <c r="J29" s="4" t="s">
        <v>54</v>
      </c>
      <c r="K29" s="2">
        <v>60.619948186528497</v>
      </c>
    </row>
    <row r="30" spans="2:11" x14ac:dyDescent="0.25">
      <c r="D30" s="4" t="s">
        <v>30</v>
      </c>
      <c r="E30" s="2">
        <v>6121</v>
      </c>
      <c r="G30" s="4" t="s">
        <v>18</v>
      </c>
      <c r="H30" s="2">
        <v>3804</v>
      </c>
      <c r="J30" s="4" t="s">
        <v>55</v>
      </c>
      <c r="K30" s="2">
        <v>62.366881188118818</v>
      </c>
    </row>
    <row r="31" spans="2:11" x14ac:dyDescent="0.25">
      <c r="D31" s="4" t="s">
        <v>20</v>
      </c>
      <c r="E31" s="2">
        <v>5729</v>
      </c>
      <c r="G31" s="4" t="s">
        <v>29</v>
      </c>
      <c r="H31" s="2">
        <v>3062</v>
      </c>
      <c r="J31" s="4" t="s">
        <v>56</v>
      </c>
      <c r="K31" s="2">
        <v>66.921243243243239</v>
      </c>
    </row>
    <row r="32" spans="2:11" x14ac:dyDescent="0.25">
      <c r="D32" s="4" t="s">
        <v>39</v>
      </c>
      <c r="E32" s="2">
        <v>45659</v>
      </c>
      <c r="G32" s="4" t="s">
        <v>39</v>
      </c>
      <c r="H32" s="2">
        <v>29230</v>
      </c>
      <c r="J32" s="4" t="s">
        <v>39</v>
      </c>
      <c r="K32" s="2">
        <v>62.493958333333332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9125E-9EF4-42B9-9C5D-3F3D1A92BD65}">
  <dimension ref="G1:W3"/>
  <sheetViews>
    <sheetView showGridLines="0" tabSelected="1" workbookViewId="0">
      <selection activeCell="U25" sqref="U25"/>
    </sheetView>
  </sheetViews>
  <sheetFormatPr defaultRowHeight="15" x14ac:dyDescent="0.25"/>
  <cols>
    <col min="1" max="1" width="6.140625" customWidth="1"/>
    <col min="4" max="4" width="6.85546875" customWidth="1"/>
    <col min="7" max="7" width="21.7109375" bestFit="1" customWidth="1"/>
    <col min="8" max="8" width="3.42578125" customWidth="1"/>
    <col min="9" max="9" width="9.5703125" customWidth="1"/>
    <col min="10" max="10" width="19" bestFit="1" customWidth="1"/>
    <col min="11" max="11" width="6.7109375" customWidth="1"/>
    <col min="12" max="12" width="5.140625" customWidth="1"/>
    <col min="13" max="13" width="8.28515625" customWidth="1"/>
    <col min="14" max="14" width="15.42578125" bestFit="1" customWidth="1"/>
    <col min="15" max="15" width="5.28515625" customWidth="1"/>
    <col min="16" max="16" width="7.42578125" customWidth="1"/>
  </cols>
  <sheetData>
    <row r="1" spans="7:23" ht="15.75" thickBot="1" x14ac:dyDescent="0.3"/>
    <row r="2" spans="7:23" ht="52.5" customHeight="1" thickBot="1" x14ac:dyDescent="0.3">
      <c r="G2" s="5" t="s">
        <v>42</v>
      </c>
      <c r="I2" s="16" t="s">
        <v>43</v>
      </c>
      <c r="J2" s="16"/>
      <c r="K2" s="17"/>
      <c r="M2" s="12" t="s">
        <v>45</v>
      </c>
      <c r="N2" s="13"/>
      <c r="O2" s="14"/>
      <c r="Q2" s="15" t="s">
        <v>47</v>
      </c>
      <c r="R2" s="13"/>
      <c r="S2" s="14"/>
      <c r="U2" s="15" t="s">
        <v>71</v>
      </c>
      <c r="V2" s="13"/>
      <c r="W2" s="14"/>
    </row>
    <row r="3" spans="7:23" ht="27.75" customHeight="1" thickTop="1" x14ac:dyDescent="0.25">
      <c r="G3" s="6">
        <f>GETPIVOTDATA("[Measures].[Sum of اجمالى  القيمة]",pivots!$B$14)</f>
        <v>8034599.9800000032</v>
      </c>
      <c r="I3" s="10"/>
      <c r="J3" s="8">
        <f>GETPIVOTDATA("[Measures].[Sum of الكمية_المباعة]",pivots!$B$18)</f>
        <v>133040</v>
      </c>
      <c r="K3" s="10"/>
      <c r="M3" s="11"/>
      <c r="N3" s="11">
        <f>GETPIVOTDATA("[Measures].[Average of اجمالى  القيمة]",pivots!$B$21)</f>
        <v>6695.4999833333359</v>
      </c>
      <c r="O3" s="11"/>
      <c r="Q3" s="7"/>
      <c r="R3" s="7">
        <f>GETPIVOTDATA("[Measures].[Average of الكمية_المباعة]",pivots!$B$24)</f>
        <v>110.86666666666666</v>
      </c>
      <c r="S3" s="7"/>
      <c r="U3" s="10"/>
      <c r="V3" s="7">
        <f>GETPIVOTDATA("[Measures].[Distinct Count of المنتج]",pivots!$J$16)</f>
        <v>25</v>
      </c>
      <c r="W3" s="10"/>
    </row>
  </sheetData>
  <mergeCells count="4">
    <mergeCell ref="M2:O2"/>
    <mergeCell ref="Q2:S2"/>
    <mergeCell ref="I2:K2"/>
    <mergeCell ref="U2:W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��1BE 'DA'*H1)'D*'1J.'DEF*,'D391_DDH'-/)'DCEJ)_'DE('9)',E'DI  'DBJE)'D*'1J.'D*'1J.'D*'1J.'DEF*,'DA&)
</file>

<file path=customXml/item8.xml>��'D*'1J.'D*'1J.'D*'1J.'D*'1J.'D*'1J.'D*'1J.',E'DI  'DBJE)',E'DI  'DBJE)',E'DI  'DBJE)'DCEJ)_'DE('9)'DCEJ)_'DE('9)'DCEJ)_'DE('9)',E'DI  'DBJE)',E'DI  'DBJE)',E'DI  'DBJE)'DCEJ)_'DE('9)'DCEJ)_'DE('9)'DCEJ)_'DE('9)'D391_DDH'-/)'D391_DDH'-/)'D391_DDH'-/)'D391_DDH'-/)'D391_DDH'-/)'D391_DDH'-/)1BE 'DA'*H1)'D*'1J.'DEF*,'D391_DDH'-/)'DCEJ)_'DE('9)',E'DI  'DBJE)',E'DI  'DBJE)',E'DI  'DBJE)',E'DI  'DBJE)',E'DI  'DBJE)',E'DI  'DBJE)',E'DI  'DBJE)'DCEJ)_'DE('9)'DCEJ)_'DE('9)'DCEJ)_'DE('9)'DCEJ)_'DE('9)'DCEJ)_'DE('9)'DCEJ)_'DE('9)',E'DI  'DBJE)',E'DI  'DBJE)',E'DI  'DBJE)',E'DI  'DBJE)',E'DI  'DBJE)',E'DI  'DBJE)'DCEJ)_'DE('9)'DCEJ)_'DE('9)'DCEJ)_'DE('9)'DCEJ)_'DE('9)'DCEJ)_'DE('9)'DCEJ)_'DE('9)'D391_DDH'-/)'D391_DDH'-/)'D391_DDH'-/)'D391_DDH'-/)'D391_DDH'-/)'D391_DDH'-/)'D391_DDH'-/)'D391_DDH'-/)'D391_DDH'-/)'D391_DDH'-/)'D391_DDH'-/)'D391_DDH'-/)',E'DI  'DBJE)',E'DI  'DBJE)',E'DI  'DBJE)'DCEJ)_'DE('9)'DCEJ)_'DE('9)'DCEJ)_'DE('9)',E'DI  'DBJE)',E'DI  'DBJE)',E'DI  'DBJE)'DCEJ)_'DE('9)'DCEJ)_'DE('9)'DCEJ)_'DE('9)'D391_DDH'-/)'D391_DDH'-/)'D391_DDH'-/)'D391_DDH'-/)'D391_DDH'-/)'D391_DDH'-/)1BE 'DA'*H1)'D*'1J.'DEF*,'D391_DDH'-/)'DCEJ)_'DE('9)',E'DI  'DBJE)',E'DI  'DBJE)',E'DI  'DBJE)',E'DI  'DBJE)',E'DI  'DBJE)',E'DI  'DBJE)',E'DI  'DBJE)'DCEJ)_'DE('9)'DCEJ)_'DE('9)'DCEJ)_'DE('9)'DCEJ)_'DE('9)'DCEJ)_'DE('9)'DCEJ)_'DE('9)',E'DI  'DBJE)',E'DI  'DBJE)',E'DI  'DBJE)',E'DI  'DBJE)',E'DI  'DBJE)',E'DI  'DBJE)'DCEJ)_'DE('9)'DCEJ)_'DE('9)'DCEJ)_'DE('9)'DCEJ)_'DE('9)'DCEJ)_'DE('9)'DCEJ)_'DE('9)'D391_DDH'-/)'D391_DDH'-/)'D391_DDH'-/)'D391_DDH'-/)'D391_DDH'-/)'D391_DDH'-/)'D391_DDH'-/)'D391_DDH'-/)'D391_DDH'-/)'D391_DDH'-/)'D391_DDH'-/)'D391_DDH'-/)1BE 'DA'*H1)'D*'1J.'DEF*,'D391_DDH'-/)'DCEJ)_'DE('9)',E'DI  'DBJE)',E'DI  'DBJE)',E'DI  'DBJE)'DCEJ)_'DE('9)'DCEJ)_'DE('9)',E'DI  'DBJE)',E'DI  'DBJE)'DCEJ)_'DE('9)'DCEJ)_'DE('9)'D391_DDH'-/)'D391_DDH'-/)'D391_DDH'-/)'D391_DDH'-/)'D*'1J.'D*'1J.'D*'1J.'DEF*,'DA&)'D*'1J.'D*'1J.'D*'1J.'D*'1J.'D*'1J.'D*'1J.'D*'1J.'D*'1J.'DEF*,'DEF*,'DEF*,'DEF*,'DEF*,'DEF*,'DEF*,'DEF*,1BE 'DA'*H1)'D*'1J.'DEF*,'D391_DDH'-/)'DCEJ)_'DE('9)',E'DI  'DBJE)',E'DI  'DBJE)',E'DI  'DBJE)'DCEJ)_'DE('9)'DCEJ)_'DE('9)',E'DI  'DBJE)',E'DI  'DBJE)'DCEJ)_'DE('9)'DCEJ)_'DE('9)'D391_DDH'-/)'D391_DDH'-/)'D391_DDH'-/)'D391_DDH'-/)'D*'1J.'D*'1J.'D*'1J.'DEF*,'DA&)'D*'1J.'D*'1J.'D*'1J.'D*'1J.'D*'1J.'D*'1J.'D*'1J.'D*'1J.'DEF*,'DEF*,'DEF*,'DEF*,'DEF*,'DEF*,'DEF*,'DEF*,
</file>

<file path=customXml/item9.xml>��
</file>

<file path=customXml/item10.xml>��'D*'1J.'D*'1J.'D*'1J.'D*'1J.'D*'1J.'D*'1J.
</file>

<file path=customXml/item11.xml>��
</file>

<file path=customXml/item12.xml>��1BE 'DA'*H1)'D*'1J.'DEF*,'D391_DDH'-/)'DCEJ)_'DE('9)',E'DI  'DBJE)1BE 'DA'*H1)'D*'1J.'DEF*,'D391_DDH'-/)'DCEJ)_'DE('9)',E'DI  'DBJE)
</file>

<file path=customXml/item13.xml>��
</file>

<file path=customXml/item14.xml>��
</file>

<file path=customXml/item15.xml>��'DEF*,'DA&)'DEF*,'DA&)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827D0E4-8FEC-4C5D-87DF-4B499D5835E4}">
  <ds:schemaRefs/>
</ds:datastoreItem>
</file>

<file path=customXml/itemProps2.xml><?xml version="1.0" encoding="utf-8"?>
<ds:datastoreItem xmlns:ds="http://schemas.openxmlformats.org/officeDocument/2006/customXml" ds:itemID="{BD3DFF8A-4913-4D35-8173-DD059F05A87F}">
  <ds:schemaRefs/>
</ds:datastoreItem>
</file>

<file path=customXml/itemProps3.xml><?xml version="1.0" encoding="utf-8"?>
<ds:datastoreItem xmlns:ds="http://schemas.openxmlformats.org/officeDocument/2006/customXml" ds:itemID="{5E3B79F4-F439-460A-9749-1011FC9961D9}">
  <ds:schemaRefs/>
</ds:datastoreItem>
</file>

<file path=customXml/itemProps4.xml><?xml version="1.0" encoding="utf-8"?>
<ds:datastoreItem xmlns:ds="http://schemas.openxmlformats.org/officeDocument/2006/customXml" ds:itemID="{9CE979E9-5CD9-4A8D-A644-6270C09DF50C}">
  <ds:schemaRefs/>
</ds:datastoreItem>
</file>

<file path=customXml/itemProps5.xml><?xml version="1.0" encoding="utf-8"?>
<ds:datastoreItem xmlns:ds="http://schemas.openxmlformats.org/officeDocument/2006/customXml" ds:itemID="{B2F6645B-BE6B-4996-8034-797BD86B1294}">
  <ds:schemaRefs/>
</ds:datastoreItem>
</file>

<file path=customXml/itemProps6.xml><?xml version="1.0" encoding="utf-8"?>
<ds:datastoreItem xmlns:ds="http://schemas.openxmlformats.org/officeDocument/2006/customXml" ds:itemID="{A5A2C646-F34B-4E20-ACE8-7B4FFC203FC9}">
  <ds:schemaRefs/>
</ds:datastoreItem>
</file>

<file path=customXml/itemProps7.xml><?xml version="1.0" encoding="utf-8"?>
<ds:datastoreItem xmlns:ds="http://schemas.openxmlformats.org/officeDocument/2006/customXml" ds:itemID="{B8109576-001B-4F2E-A475-A2F5FC1A063C}">
  <ds:schemaRefs/>
</ds:datastoreItem>
</file>

<file path=customXml/itemProps8.xml><?xml version="1.0" encoding="utf-8"?>
<ds:datastoreItem xmlns:ds="http://schemas.openxmlformats.org/officeDocument/2006/customXml" ds:itemID="{60D575B2-9D11-4A07-99DC-5824A943EECC}">
  <ds:schemaRefs/>
</ds:datastoreItem>
</file>

<file path=customXml/itemProps9.xml><?xml version="1.0" encoding="utf-8"?>
<ds:datastoreItem xmlns:ds="http://schemas.openxmlformats.org/officeDocument/2006/customXml" ds:itemID="{A6609224-304E-4DD0-BCEE-76568CE39206}">
  <ds:schemaRefs/>
</ds:datastoreItem>
</file>

<file path=customXml/itemProps10.xml><?xml version="1.0" encoding="utf-8"?>
<ds:datastoreItem xmlns:ds="http://schemas.openxmlformats.org/officeDocument/2006/customXml" ds:itemID="{40D0AA83-C256-49B0-9088-F123F27FF687}">
  <ds:schemaRefs/>
</ds:datastoreItem>
</file>

<file path=customXml/itemProps11.xml><?xml version="1.0" encoding="utf-8"?>
<ds:datastoreItem xmlns:ds="http://schemas.openxmlformats.org/officeDocument/2006/customXml" ds:itemID="{CC76FFBB-BE79-47AF-96A2-F7026A9B45B9}">
  <ds:schemaRefs/>
</ds:datastoreItem>
</file>

<file path=customXml/itemProps12.xml><?xml version="1.0" encoding="utf-8"?>
<ds:datastoreItem xmlns:ds="http://schemas.openxmlformats.org/officeDocument/2006/customXml" ds:itemID="{4A0995F0-E57F-4DA6-B2B8-9E96D0F0532A}">
  <ds:schemaRefs/>
</ds:datastoreItem>
</file>

<file path=customXml/itemProps13.xml><?xml version="1.0" encoding="utf-8"?>
<ds:datastoreItem xmlns:ds="http://schemas.openxmlformats.org/officeDocument/2006/customXml" ds:itemID="{685519B7-4E99-4995-8D27-D99800383B67}">
  <ds:schemaRefs/>
</ds:datastoreItem>
</file>

<file path=customXml/itemProps14.xml><?xml version="1.0" encoding="utf-8"?>
<ds:datastoreItem xmlns:ds="http://schemas.openxmlformats.org/officeDocument/2006/customXml" ds:itemID="{7FF11CEE-0180-4A70-80B9-22BCBB10692C}">
  <ds:schemaRefs/>
</ds:datastoreItem>
</file>

<file path=customXml/itemProps15.xml><?xml version="1.0" encoding="utf-8"?>
<ds:datastoreItem xmlns:ds="http://schemas.openxmlformats.org/officeDocument/2006/customXml" ds:itemID="{FFCDA9B8-49B9-4E57-93CB-312ED0FB7021}">
  <ds:schemaRefs/>
</ds:datastoreItem>
</file>

<file path=customXml/itemProps16.xml><?xml version="1.0" encoding="utf-8"?>
<ds:datastoreItem xmlns:ds="http://schemas.openxmlformats.org/officeDocument/2006/customXml" ds:itemID="{89798A4C-2A6D-49E2-83F8-35CBA593A05B}">
  <ds:schemaRefs/>
</ds:datastoreItem>
</file>

<file path=customXml/itemProps17.xml><?xml version="1.0" encoding="utf-8"?>
<ds:datastoreItem xmlns:ds="http://schemas.openxmlformats.org/officeDocument/2006/customXml" ds:itemID="{1B35BAF7-F380-4359-89FA-266D10E769FE}">
  <ds:schemaRefs/>
</ds:datastoreItem>
</file>

<file path=customXml/itemProps18.xml><?xml version="1.0" encoding="utf-8"?>
<ds:datastoreItem xmlns:ds="http://schemas.openxmlformats.org/officeDocument/2006/customXml" ds:itemID="{6C6138C4-1C2D-45A4-A715-33A35130BBD6}">
  <ds:schemaRefs/>
</ds:datastoreItem>
</file>

<file path=customXml/itemProps19.xml><?xml version="1.0" encoding="utf-8"?>
<ds:datastoreItem xmlns:ds="http://schemas.openxmlformats.org/officeDocument/2006/customXml" ds:itemID="{A2DF36A7-335A-4B90-91EF-68DDC39C32C6}">
  <ds:schemaRefs/>
</ds:datastoreItem>
</file>

<file path=customXml/itemProps20.xml><?xml version="1.0" encoding="utf-8"?>
<ds:datastoreItem xmlns:ds="http://schemas.openxmlformats.org/officeDocument/2006/customXml" ds:itemID="{17FA475A-D787-4783-BE36-08F130FE4B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Supermarket_Data</vt:lpstr>
      <vt:lpstr>month_name_arabic</vt:lpstr>
      <vt:lpstr>date</vt:lpstr>
      <vt:lpstr>product_category</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2026-03-23T21:10:35Z</dcterms:modified>
</cp:coreProperties>
</file>